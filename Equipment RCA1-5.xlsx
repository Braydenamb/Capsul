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docMetadata/LabelInfo.xml" ContentType="application/vnd.ms-office.classificationlabel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30408"/>
  <workbookPr/>
  <bookViews>
    <workbookView xWindow="0" yWindow="0" windowWidth="16384" windowHeight="8192" tabRatio="500" activeTab="0"/>
  </bookViews>
  <sheets>
    <sheet name="Equipment Info" sheetId="1" r:id="rId3"/>
    <sheet name="Condition History" sheetId="2" r:id="rId4"/>
    <sheet name="Performance Summary" sheetId="3" r:id="rId5"/>
    <sheet name="Equipment Info (2)" sheetId="4" r:id="rId6"/>
    <sheet name="Condition History (2)" sheetId="5" r:id="rId7"/>
    <sheet name="Performance Summary (2)" sheetId="6" r:id="rId8"/>
    <sheet name="Equipment Info (3)" sheetId="7" r:id="rId9"/>
    <sheet name="Condition History (3)" sheetId="8" r:id="rId10"/>
    <sheet name="Performance Summary (3)" sheetId="9" r:id="rId11"/>
    <sheet name="Equipment Info (4)" sheetId="10" r:id="rId12"/>
    <sheet name="Condition History (4)" sheetId="11" r:id="rId13"/>
    <sheet name="Performance Summary (4)" sheetId="12" r:id="rId14"/>
    <sheet name="Equipment Info (5)" sheetId="13" r:id="rId15"/>
    <sheet name="Condition History (5)" sheetId="14" r:id="rId16"/>
    <sheet name="Performance Summary (5)" sheetId="15" r:id="rId17"/>
  </sheets>
  <definedNames/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3" l="1"/>
  <c r="B7" i="3"/>
  <c r="C6" i="3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B13" i="3" l="1"/>
  <c r="B12" i="3"/>
  <c r="B11" i="3"/>
</calcChain>
</file>

<file path=xl/sharedStrings.xml><?xml version="1.0" encoding="utf-8"?>
<sst xmlns="http://schemas.openxmlformats.org/spreadsheetml/2006/main" count="525" uniqueCount="230">
  <si>
    <t>EQUIPMENT PERFORMANCE — CONDITION MONITORING RECORD</t>
  </si>
  <si>
    <t>NAMEPLATE / IDENTIFICATION</t>
  </si>
  <si>
    <t>MONITORED PARAMETERS &amp; LIMITS</t>
  </si>
  <si>
    <t>Equipment Tag</t>
  </si>
  <si>
    <t>PU-2101B</t>
  </si>
  <si>
    <t>Parameter</t>
  </si>
  <si>
    <t>Alarm / Trip</t>
  </si>
  <si>
    <t>Equipment Name</t>
  </si>
  <si>
    <t>Feed Charge Pump PU-2101B</t>
  </si>
  <si>
    <t>Overall Vibration (mm/s)</t>
  </si>
  <si>
    <t>7.0 / 11.0</t>
  </si>
  <si>
    <t>Equipment Type</t>
  </si>
  <si>
    <t>Centrifugal Pump</t>
  </si>
  <si>
    <t>Seal Flush Flow (L/min)</t>
  </si>
  <si>
    <t>5.0 / 4.0</t>
  </si>
  <si>
    <t>Equipment Class</t>
  </si>
  <si>
    <t>B</t>
  </si>
  <si>
    <t>Discharge Pressure (barg)</t>
  </si>
  <si>
    <t>8.5 / 7.5</t>
  </si>
  <si>
    <t>Plant / Unit</t>
  </si>
  <si>
    <t>Resin Plant (ARP)</t>
  </si>
  <si>
    <t>Bearing Temp (°C)</t>
  </si>
  <si>
    <t>80 / 95</t>
  </si>
  <si>
    <t>Discipline</t>
  </si>
  <si>
    <t>ROT</t>
  </si>
  <si>
    <t>Criticality</t>
  </si>
  <si>
    <t>Medium</t>
  </si>
  <si>
    <t>Design Life</t>
  </si>
  <si>
    <t>5 years (bearing) / 24 months (seal element)</t>
  </si>
  <si>
    <t>Monitoring Method</t>
  </si>
  <si>
    <t>Online DCS + monthly vibration/thermography route</t>
  </si>
  <si>
    <t>Linked RCA / AR No.</t>
  </si>
  <si>
    <t>AR-2026-ARP-0117</t>
  </si>
  <si>
    <t>Failure Date</t>
  </si>
  <si>
    <t>12-Mar-2026</t>
  </si>
  <si>
    <t>Dominant Failure Mode</t>
  </si>
  <si>
    <t>Mechanical Seal Leakage</t>
  </si>
  <si>
    <t>Week</t>
  </si>
  <si>
    <t>Date</t>
  </si>
  <si>
    <t>Overall Vibration
(mm/s)</t>
  </si>
  <si>
    <t>Seal Flush Flow
(L/min)</t>
  </si>
  <si>
    <t>Discharge Pressure
(barg)</t>
  </si>
  <si>
    <t>Bearing Temp
(°C)</t>
  </si>
  <si>
    <t>Health Status</t>
  </si>
  <si>
    <t>Remark</t>
  </si>
  <si>
    <t>2025-10-23</t>
  </si>
  <si>
    <t>2025-10-30</t>
  </si>
  <si>
    <t>2025-11-06</t>
  </si>
  <si>
    <t>2025-11-13</t>
  </si>
  <si>
    <t>2025-11-20</t>
  </si>
  <si>
    <t>2025-11-27</t>
  </si>
  <si>
    <t>2025-12-04</t>
  </si>
  <si>
    <t>2025-12-11</t>
  </si>
  <si>
    <t>2025-12-18</t>
  </si>
  <si>
    <t>2025-12-25</t>
  </si>
  <si>
    <t>2026-01-01</t>
  </si>
  <si>
    <t>2026-01-08</t>
  </si>
  <si>
    <t>2026-01-15</t>
  </si>
  <si>
    <t>2026-01-22</t>
  </si>
  <si>
    <t>2026-01-29</t>
  </si>
  <si>
    <t>2026-02-05</t>
  </si>
  <si>
    <t>2026-02-12</t>
  </si>
  <si>
    <t>2026-02-19</t>
  </si>
  <si>
    <t>Degradation trend — under close monitoring</t>
  </si>
  <si>
    <t>2026-02-26</t>
  </si>
  <si>
    <t>2026-03-05</t>
  </si>
  <si>
    <t>2026-03-12</t>
  </si>
  <si>
    <t>FAILURE — Mechanical Seal Leakage; unplanned downtime 18.5 h</t>
  </si>
  <si>
    <t>2026-03-19</t>
  </si>
  <si>
    <t>Post-repair baseline restored (CAPA executed)</t>
  </si>
  <si>
    <t>2026-03-26</t>
  </si>
  <si>
    <t>2026-04-02</t>
  </si>
  <si>
    <t>2026-04-09</t>
  </si>
  <si>
    <t>2026-04-16</t>
  </si>
  <si>
    <t>PERFORMANCE SUMMARY — PU-2101B</t>
  </si>
  <si>
    <t>KPI</t>
  </si>
  <si>
    <t>Value</t>
  </si>
  <si>
    <t>Basis / Formula</t>
  </si>
  <si>
    <t>Monitoring Period (weeks)</t>
  </si>
  <si>
    <t>Number of weekly readings</t>
  </si>
  <si>
    <t>Total Downtime (hours)</t>
  </si>
  <si>
    <t>From linked RCA downtime window</t>
  </si>
  <si>
    <t>Period Hours</t>
  </si>
  <si>
    <t>Availability (%)</t>
  </si>
  <si>
    <t>(Period-Downtime)/Period</t>
  </si>
  <si>
    <t>No. of Failures (period)</t>
  </si>
  <si>
    <t>Failure events this period</t>
  </si>
  <si>
    <t>MTBF (hours)</t>
  </si>
  <si>
    <t>Period Hours / No. of Failures</t>
  </si>
  <si>
    <t>MTTR (hours)</t>
  </si>
  <si>
    <t>Mean time to repair</t>
  </si>
  <si>
    <t>ALARM readings</t>
  </si>
  <si>
    <t>Count of ALARM weeks</t>
  </si>
  <si>
    <t>TRIP readings</t>
  </si>
  <si>
    <t>Count of TRIP weeks</t>
  </si>
  <si>
    <t>NORMAL readings</t>
  </si>
  <si>
    <t>Count of NORMAL weeks</t>
  </si>
  <si>
    <t>PM Compliance (%)</t>
  </si>
  <si>
    <t>PM completed vs scheduled</t>
  </si>
  <si>
    <t>Production Loss (ton)</t>
  </si>
  <si>
    <t>Downtime x rate loss (from RCA)</t>
  </si>
  <si>
    <t>Estimated Loss (k USD)</t>
  </si>
  <si>
    <t>Production loss x product price</t>
  </si>
  <si>
    <t>KO-3201</t>
  </si>
  <si>
    <t>Cracked Gas Compressor KO-3201</t>
  </si>
  <si>
    <t>DE Radial Vibration (micron)</t>
  </si>
  <si>
    <t>45 / 75</t>
  </si>
  <si>
    <t>Centrifugal Compressor</t>
  </si>
  <si>
    <t>Lube Oil Water Content (ppm)</t>
  </si>
  <si>
    <t>500 / 1500</t>
  </si>
  <si>
    <t>A</t>
  </si>
  <si>
    <t>Lube Oil Supply Press (barg)</t>
  </si>
  <si>
    <t>1.4 / 1.1</t>
  </si>
  <si>
    <t>Cracker Unit (ZCU)</t>
  </si>
  <si>
    <t>Bearing Metal Temp (°C)</t>
  </si>
  <si>
    <t>95 / 110</t>
  </si>
  <si>
    <t>High</t>
  </si>
  <si>
    <t>AR-2026-ZCU-0142</t>
  </si>
  <si>
    <t>29-Apr-2026</t>
  </si>
  <si>
    <t>High Radial Vibration Trip (Bearing Distress)</t>
  </si>
  <si>
    <t>DE Radial Vibration
(micron)</t>
  </si>
  <si>
    <t>Lube Oil Water Content
(ppm)</t>
  </si>
  <si>
    <t>Lube Oil Supply Press
(barg)</t>
  </si>
  <si>
    <t>Bearing Metal Temp
(°C)</t>
  </si>
  <si>
    <t>2025-12-10</t>
  </si>
  <si>
    <t>2025-12-17</t>
  </si>
  <si>
    <t>2025-12-24</t>
  </si>
  <si>
    <t>2025-12-31</t>
  </si>
  <si>
    <t>2026-01-07</t>
  </si>
  <si>
    <t>2026-01-14</t>
  </si>
  <si>
    <t>2026-01-21</t>
  </si>
  <si>
    <t>2026-01-28</t>
  </si>
  <si>
    <t>2026-02-04</t>
  </si>
  <si>
    <t>2026-02-11</t>
  </si>
  <si>
    <t>2026-02-18</t>
  </si>
  <si>
    <t>2026-02-25</t>
  </si>
  <si>
    <t>2026-03-04</t>
  </si>
  <si>
    <t>2026-03-11</t>
  </si>
  <si>
    <t>2026-03-18</t>
  </si>
  <si>
    <t>2026-03-25</t>
  </si>
  <si>
    <t>2026-04-01</t>
  </si>
  <si>
    <t>2026-04-08</t>
  </si>
  <si>
    <t>2026-04-15</t>
  </si>
  <si>
    <t>2026-04-22</t>
  </si>
  <si>
    <t>2026-04-29</t>
  </si>
  <si>
    <t>FAILURE — High Radial Vibration Trip (Bearing Distress); unplanned downtime 32.0 h</t>
  </si>
  <si>
    <t>2026-05-06</t>
  </si>
  <si>
    <t>2026-05-13</t>
  </si>
  <si>
    <t>2026-05-20</t>
  </si>
  <si>
    <t>2026-05-27</t>
  </si>
  <si>
    <t>2026-06-03</t>
  </si>
  <si>
    <t>PERFORMANCE SUMMARY — KO-3201</t>
  </si>
  <si>
    <t>PM-4405B</t>
  </si>
  <si>
    <t>Cooling Water Pump PM-4405B (Motor Driven)</t>
  </si>
  <si>
    <t>Motor DE Bearing Temp (°C)</t>
  </si>
  <si>
    <t>75 / 90</t>
  </si>
  <si>
    <t>Centrifugal Pump / Electric Motor</t>
  </si>
  <si>
    <t>Motor Vibration (mm/s)</t>
  </si>
  <si>
    <t>5.0 / 8.0</t>
  </si>
  <si>
    <t>Motor Ampere (A)</t>
  </si>
  <si>
    <t>150 / 165</t>
  </si>
  <si>
    <t>Utility Plant (NUP)</t>
  </si>
  <si>
    <t>Winding Temp (°C)</t>
  </si>
  <si>
    <t>120 / 140</t>
  </si>
  <si>
    <t>ELE</t>
  </si>
  <si>
    <t>AR-2026-NUP-0089</t>
  </si>
  <si>
    <t>08-Jul-2026</t>
  </si>
  <si>
    <t>Motor Bearing Failure (Overheating)</t>
  </si>
  <si>
    <t>Motor DE Bearing Temp
(°C)</t>
  </si>
  <si>
    <t>Motor Vibration
(mm/s)</t>
  </si>
  <si>
    <t>Motor Ampere
(A)</t>
  </si>
  <si>
    <t>Winding Temp
(°C)</t>
  </si>
  <si>
    <t>2026-06-10</t>
  </si>
  <si>
    <t>2026-06-17</t>
  </si>
  <si>
    <t>2026-06-24</t>
  </si>
  <si>
    <t>2026-07-01</t>
  </si>
  <si>
    <t>2026-07-08</t>
  </si>
  <si>
    <t>FAILURE — Motor Bearing Failure (Overheating); unplanned downtime 8.0 h</t>
  </si>
  <si>
    <t>2026-07-15</t>
  </si>
  <si>
    <t>2026-07-22</t>
  </si>
  <si>
    <t>2026-07-29</t>
  </si>
  <si>
    <t>2026-08-05</t>
  </si>
  <si>
    <t>2026-08-12</t>
  </si>
  <si>
    <t>PERFORMANCE SUMMARY — PM-4405B</t>
  </si>
  <si>
    <t>HE-3301</t>
  </si>
  <si>
    <t>Feed/Effluent Heat Exchanger HE-3301</t>
  </si>
  <si>
    <t>Tube-side dP (bar)</t>
  </si>
  <si>
    <t>0.6 / 0.9</t>
  </si>
  <si>
    <t>Shell &amp; Tube Heat Exchanger</t>
  </si>
  <si>
    <t>Heat Duty (% design)</t>
  </si>
  <si>
    <t>90 / 70</t>
  </si>
  <si>
    <t>Cold Outlet Temp (°C)</t>
  </si>
  <si>
    <t>110 / 95</t>
  </si>
  <si>
    <t>Feed Heavy-ends (%)</t>
  </si>
  <si>
    <t>1.5 / 2.4</t>
  </si>
  <si>
    <t>STA</t>
  </si>
  <si>
    <t>AR-2026-ZCU-0165</t>
  </si>
  <si>
    <t>21-May-2026</t>
  </si>
  <si>
    <t>High Fouling — Duty Loss &amp; High dP</t>
  </si>
  <si>
    <t>Tube-side dP
(bar)</t>
  </si>
  <si>
    <t>Heat Duty
(% design)</t>
  </si>
  <si>
    <t>Cold Outlet Temp
(°C)</t>
  </si>
  <si>
    <t>Feed Heavy-ends
(%)</t>
  </si>
  <si>
    <t>2026-04-23</t>
  </si>
  <si>
    <t>2026-04-30</t>
  </si>
  <si>
    <t>2026-05-07</t>
  </si>
  <si>
    <t>2026-05-14</t>
  </si>
  <si>
    <t>2026-05-21</t>
  </si>
  <si>
    <t>FAILURE — High Fouling — Duty Loss &amp; High dP; unplanned downtime 12.0 h</t>
  </si>
  <si>
    <t>2026-05-28</t>
  </si>
  <si>
    <t>2026-06-04</t>
  </si>
  <si>
    <t>2026-06-11</t>
  </si>
  <si>
    <t>2026-06-18</t>
  </si>
  <si>
    <t>2026-06-25</t>
  </si>
  <si>
    <t>PERFORMANCE SUMMARY — HE-3301</t>
  </si>
  <si>
    <t>BL-5702</t>
  </si>
  <si>
    <t>Product Blower BL-5702</t>
  </si>
  <si>
    <t>Centrifugal Blower</t>
  </si>
  <si>
    <t>2X Harmonic (mm/s)</t>
  </si>
  <si>
    <t>3.0 / 5.0</t>
  </si>
  <si>
    <t>Coupling Offset (mm)</t>
  </si>
  <si>
    <t>0.05 / 0.3</t>
  </si>
  <si>
    <t>Polymer Plant (OPP)</t>
  </si>
  <si>
    <t>AR-2026-OPP-0203</t>
  </si>
  <si>
    <t>17-Jun-2026</t>
  </si>
  <si>
    <t>High Vibration (Coupling Misalignment)</t>
  </si>
  <si>
    <t>2X Harmonic
(mm/s)</t>
  </si>
  <si>
    <t>Coupling Offset
(mm)</t>
  </si>
  <si>
    <t>FAILURE — High Vibration (Coupling Misalignment); unplanned downtime 14.0 h</t>
  </si>
  <si>
    <t>PERFORMANCE SUMMARY — BL-5702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</si>
</sst>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>
    <font>
      <sz val="11"/>
      <color theme="1"/>
      <name val="Calibri"/>
      <family val="2"/>
      <charset val="1"/>
    </font>
    <font>
      <sz val="10"/>
      <color theme="1"/>
      <name val="Arial"/>
      <family val="2"/>
    </font>
    <font>
      <b/>
      <sz val="14"/>
      <color rgb="FF1F4E78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  <charset val="1"/>
    </font>
    <font>
      <i/>
      <sz val="9"/>
      <color rgb="FF80808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1F4E78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 style="thin">
        <color rgb="FFBFBFBF"/>
      </top>
      <bottom style="thin">
        <color rgb="FFBFBFBF"/>
      </bottom>
    </border>
  </borders>
  <cellStyleXfs count="6">
    <xf numFmtId="0" fontId="0" fillId="0" borderId="0">
      <alignment/>
      <protection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0">
    <xf numFmtId="0" fontId="0" fillId="0" borderId="0" xfId="0">
      <alignment/>
    </xf>
    <xf numFmtId="0" fontId="4" fillId="2" borderId="1" xfId="0" applyFont="1" applyFill="1" applyBorder="1">
      <alignment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dxfs count="3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E1F2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6EFCE"/>
      <rgbColor rgb="00FFEB9C"/>
      <rgbColor rgb="0099CCFF"/>
      <rgbColor rgb="00FF99CC"/>
      <rgbColor rgb="00CC99FF"/>
      <rgbColor rgb="00FFC7CE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1F4E78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5" Type="http://schemas.openxmlformats.org/officeDocument/2006/relationships/worksheet" Target="worksheets/sheet13.xml" /><Relationship Id="rId6" Type="http://schemas.openxmlformats.org/officeDocument/2006/relationships/worksheet" Target="worksheets/sheet4.xml" /><Relationship Id="rId10" Type="http://schemas.openxmlformats.org/officeDocument/2006/relationships/worksheet" Target="worksheets/sheet8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21" Type="http://schemas.openxmlformats.org/officeDocument/2006/relationships/customXml" Target="../customXml/item3.xml" /><Relationship Id="rId16" Type="http://schemas.openxmlformats.org/officeDocument/2006/relationships/worksheet" Target="worksheets/sheet14.xml" /><Relationship Id="rId12" Type="http://schemas.openxmlformats.org/officeDocument/2006/relationships/worksheet" Target="worksheets/sheet10.xml" /><Relationship Id="rId14" Type="http://schemas.openxmlformats.org/officeDocument/2006/relationships/worksheet" Target="worksheets/sheet12.xml" /><Relationship Id="rId22" Type="http://schemas.openxmlformats.org/officeDocument/2006/relationships/calcChain" Target="calcChain.xml" /><Relationship Id="rId19" Type="http://schemas.openxmlformats.org/officeDocument/2006/relationships/customXml" Target="../customXml/item1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4" Type="http://schemas.openxmlformats.org/officeDocument/2006/relationships/worksheet" Target="worksheets/sheet2.xml" /><Relationship Id="rId11" Type="http://schemas.openxmlformats.org/officeDocument/2006/relationships/worksheet" Target="worksheets/sheet9.xml" /><Relationship Id="rId20" Type="http://schemas.openxmlformats.org/officeDocument/2006/relationships/customXml" Target="../customXml/item2.xml" /><Relationship Id="rId5" Type="http://schemas.openxmlformats.org/officeDocument/2006/relationships/worksheet" Target="worksheets/sheet3.xml" /><Relationship Id="rId13" Type="http://schemas.openxmlformats.org/officeDocument/2006/relationships/worksheet" Target="worksheets/sheet11.xml" /><Relationship Id="rId9" Type="http://schemas.openxmlformats.org/officeDocument/2006/relationships/worksheet" Target="worksheets/sheet7.xml" /><Relationship Id="rId3" Type="http://schemas.openxmlformats.org/officeDocument/2006/relationships/worksheet" Target="worksheets/sheet1.xml" /><Relationship Id="rId17" Type="http://schemas.openxmlformats.org/officeDocument/2006/relationships/worksheet" Target="worksheets/sheet15.xml" /><Relationship Id="rId18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 topLeftCell="A1">
      <selection pane="topLeft" activeCell="B9" sqref="B9"/>
    </sheetView>
  </sheetViews>
  <sheetFormatPr defaultColWidth="8.71428571428571" defaultRowHeight="15"/>
  <cols>
    <col min="1" max="1" width="22" customWidth="1"/>
    <col min="2" max="2" width="30" customWidth="1"/>
    <col min="3" max="3" width="26" customWidth="1"/>
    <col min="4" max="4" width="16" customWidth="1"/>
  </cols>
  <sheetData>
    <row r="1" spans="1:4" ht="17.45" customHeight="1">
      <c r="A1" s="7" t="s">
        <v>0</v>
      </c>
      <c r="B1" s="7"/>
      <c r="C1" s="7"/>
      <c r="D1" s="7"/>
    </row>
    <row r="3" spans="1:4" ht="15" customHeight="1">
      <c r="A3" s="8" t="s">
        <v>1</v>
      </c>
      <c r="B3" s="8"/>
      <c r="C3" s="8" t="s">
        <v>2</v>
      </c>
      <c r="D3" s="8"/>
    </row>
    <row r="4" spans="1:4" ht="15">
      <c r="A4" s="1" t="s">
        <v>3</v>
      </c>
      <c r="B4" s="2" t="s">
        <v>4</v>
      </c>
      <c r="C4" s="1" t="s">
        <v>5</v>
      </c>
      <c r="D4" s="1" t="s">
        <v>6</v>
      </c>
    </row>
    <row r="5" spans="1:4" ht="15">
      <c r="A5" s="1" t="s">
        <v>7</v>
      </c>
      <c r="B5" s="2" t="s">
        <v>8</v>
      </c>
      <c r="C5" s="2" t="s">
        <v>9</v>
      </c>
      <c r="D5" s="3" t="s">
        <v>10</v>
      </c>
    </row>
    <row r="6" spans="1:4" ht="15">
      <c r="A6" s="1" t="s">
        <v>11</v>
      </c>
      <c r="B6" s="2" t="s">
        <v>12</v>
      </c>
      <c r="C6" s="2" t="s">
        <v>13</v>
      </c>
      <c r="D6" s="3" t="s">
        <v>14</v>
      </c>
    </row>
    <row r="7" spans="1:4" ht="15">
      <c r="A7" s="1" t="s">
        <v>15</v>
      </c>
      <c r="B7" s="2" t="s">
        <v>16</v>
      </c>
      <c r="C7" s="2" t="s">
        <v>17</v>
      </c>
      <c r="D7" s="3" t="s">
        <v>18</v>
      </c>
    </row>
    <row r="8" spans="1:4" ht="15">
      <c r="A8" s="1" t="s">
        <v>19</v>
      </c>
      <c r="B8" s="2" t="s">
        <v>20</v>
      </c>
      <c r="C8" s="2" t="s">
        <v>21</v>
      </c>
      <c r="D8" s="3" t="s">
        <v>22</v>
      </c>
    </row>
    <row r="9" spans="1:2" ht="15">
      <c r="A9" s="1" t="s">
        <v>23</v>
      </c>
      <c r="B9" s="2" t="s">
        <v>24</v>
      </c>
    </row>
    <row r="10" spans="1:2" ht="15">
      <c r="A10" s="1" t="s">
        <v>25</v>
      </c>
      <c r="B10" s="2" t="s">
        <v>26</v>
      </c>
    </row>
    <row r="11" spans="1:2" ht="23.85">
      <c r="A11" s="1" t="s">
        <v>27</v>
      </c>
      <c r="B11" s="2" t="s">
        <v>28</v>
      </c>
    </row>
    <row r="12" spans="1:2" ht="23.85">
      <c r="A12" s="1" t="s">
        <v>29</v>
      </c>
      <c r="B12" s="2" t="s">
        <v>30</v>
      </c>
    </row>
    <row r="13" spans="1:2" ht="15">
      <c r="A13" s="1" t="s">
        <v>31</v>
      </c>
      <c r="B13" s="2" t="s">
        <v>32</v>
      </c>
    </row>
    <row r="14" spans="1:2" ht="15">
      <c r="A14" s="1" t="s">
        <v>33</v>
      </c>
      <c r="B14" s="2" t="s">
        <v>34</v>
      </c>
    </row>
    <row r="15" spans="1:2" ht="15">
      <c r="A15" s="1" t="s">
        <v>35</v>
      </c>
      <c r="B15" s="2" t="s">
        <v>36</v>
      </c>
    </row>
  </sheetData>
  <mergeCells count="3">
    <mergeCell ref="A1:D1"/>
    <mergeCell ref="A3:B3"/>
    <mergeCell ref="C3:D3"/>
  </mergeCells>
  <pageMargins left="0.75" right="0.75" top="1" bottom="1" header="0.511811023622047" footer="0.511811023622047"/>
  <pageSetup horizontalDpi="300" verticalDpi="300"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7"/>
  <sheetViews>
    <sheetView workbookViewId="0" topLeftCell="A1">
      <pane xSplit="2" ySplit="1" topLeftCell="C2" activePane="bottomRight" state="frozen"/>
      <selection pane="topLeft" activeCell="A1" sqref="A1"/>
      <selection pane="bottomLeft" activeCell="A2" sqref="A2"/>
      <selection pane="topRight" activeCell="C1" sqref="C1"/>
      <selection pane="bottomRight" activeCell="A1" sqref="A1"/>
    </sheetView>
  </sheetViews>
  <sheetFormatPr defaultColWidth="8.71428571428571" defaultRowHeight="15"/>
  <cols>
    <col min="1" max="1" width="6" customWidth="1"/>
    <col min="2" max="2" width="12" customWidth="1"/>
    <col min="3" max="7" width="13" customWidth="1"/>
    <col min="8" max="8" width="42" customWidth="1"/>
  </cols>
  <sheetData>
    <row r="1" spans="1:8" ht="33.75" customHeight="1">
      <c r="A1" s="4" t="s">
        <v>37</v>
      </c>
      <c r="B1" s="4" t="s">
        <v>38</v>
      </c>
      <c r="C1" s="4" t="s">
        <v>39</v>
      </c>
      <c r="D1" s="4" t="s">
        <v>40</v>
      </c>
      <c r="E1" s="4" t="s">
        <v>41</v>
      </c>
      <c r="F1" s="4" t="s">
        <v>42</v>
      </c>
      <c r="G1" s="4" t="s">
        <v>43</v>
      </c>
      <c r="H1" s="4" t="s">
        <v>44</v>
      </c>
    </row>
    <row r="2" spans="1:8" ht="15">
      <c r="A2" s="3">
        <v>1</v>
      </c>
      <c r="B2" s="3" t="s">
        <v>45</v>
      </c>
      <c r="C2" s="3">
        <v>3.8929999999999998</v>
      </c>
      <c r="D2" s="3">
        <v>6.5289999999999999</v>
      </c>
      <c r="E2" s="3">
        <v>9.5760000000000005</v>
      </c>
      <c r="F2" s="3">
        <v>62.025</v>
      </c>
      <c r="G2" s="3" t="str">
        <f>IF(OR(C2&gt;=11,D2&lt;=4,E2&lt;=7.5,F2&gt;=95),"TRIP",IF(OR(C2&gt;=7,D2&lt;=5,E2&lt;=8.5,F2&gt;=80),"ALARM","NORMAL"))</f>
        <v>NORMAL</v>
      </c>
      <c r="H2" s="2"/>
    </row>
    <row r="3" spans="1:8" ht="15">
      <c r="A3" s="3">
        <v>2</v>
      </c>
      <c r="B3" s="3" t="s">
        <v>46</v>
      </c>
      <c r="C3" s="3">
        <v>3.9409999999999998</v>
      </c>
      <c r="D3" s="3">
        <v>6.4669999999999996</v>
      </c>
      <c r="E3" s="3">
        <v>9.5489999999999995</v>
      </c>
      <c r="F3" s="3">
        <v>63.051000000000002</v>
      </c>
      <c r="G3" s="3" t="str">
        <f>IF(OR(C3&gt;=11,D3&lt;=4,E3&lt;=7.5,F3&gt;=95),"TRIP",IF(OR(C3&gt;=7,D3&lt;=5,E3&lt;=8.5,F3&gt;=80),"ALARM","NORMAL"))</f>
        <v>NORMAL</v>
      </c>
      <c r="H3" s="2"/>
    </row>
    <row r="4" spans="1:8" ht="15">
      <c r="A4" s="3">
        <v>3</v>
      </c>
      <c r="B4" s="3" t="s">
        <v>47</v>
      </c>
      <c r="C4" s="3">
        <v>3.805</v>
      </c>
      <c r="D4" s="3">
        <v>6.5279999999999996</v>
      </c>
      <c r="E4" s="3">
        <v>9.5289999999999999</v>
      </c>
      <c r="F4" s="3">
        <v>61.209000000000003</v>
      </c>
      <c r="G4" s="3" t="str">
        <f>IF(OR(C4&gt;=11,D4&lt;=4,E4&lt;=7.5,F4&gt;=95),"TRIP",IF(OR(C4&gt;=7,D4&lt;=5,E4&lt;=8.5,F4&gt;=80),"ALARM","NORMAL"))</f>
        <v>NORMAL</v>
      </c>
      <c r="H4" s="2"/>
    </row>
    <row r="5" spans="1:8" ht="15">
      <c r="A5" s="3">
        <v>4</v>
      </c>
      <c r="B5" s="3" t="s">
        <v>48</v>
      </c>
      <c r="C5" s="3">
        <v>4.0620000000000003</v>
      </c>
      <c r="D5" s="3">
        <v>6.3840000000000003</v>
      </c>
      <c r="E5" s="3">
        <v>9.593</v>
      </c>
      <c r="F5" s="3">
        <v>62.58</v>
      </c>
      <c r="G5" s="3" t="str">
        <f>IF(OR(C5&gt;=11,D5&lt;=4,E5&lt;=7.5,F5&gt;=95),"TRIP",IF(OR(C5&gt;=7,D5&lt;=5,E5&lt;=8.5,F5&gt;=80),"ALARM","NORMAL"))</f>
        <v>NORMAL</v>
      </c>
      <c r="H5" s="2"/>
    </row>
    <row r="6" spans="1:8" ht="15">
      <c r="A6" s="3">
        <v>5</v>
      </c>
      <c r="B6" s="3" t="s">
        <v>49</v>
      </c>
      <c r="C6" s="3">
        <v>4.3140000000000001</v>
      </c>
      <c r="D6" s="3">
        <v>6.2569999999999997</v>
      </c>
      <c r="E6" s="3">
        <v>9.5399999999999991</v>
      </c>
      <c r="F6" s="3">
        <v>63.955</v>
      </c>
      <c r="G6" s="3" t="str">
        <f>IF(OR(C6&gt;=11,D6&lt;=4,E6&lt;=7.5,F6&gt;=95),"TRIP",IF(OR(C6&gt;=7,D6&lt;=5,E6&lt;=8.5,F6&gt;=80),"ALARM","NORMAL"))</f>
        <v>NORMAL</v>
      </c>
      <c r="H6" s="2"/>
    </row>
    <row r="7" spans="1:8" ht="15">
      <c r="A7" s="3">
        <v>6</v>
      </c>
      <c r="B7" s="3" t="s">
        <v>50</v>
      </c>
      <c r="C7" s="3">
        <v>4.42</v>
      </c>
      <c r="D7" s="3">
        <v>6.365</v>
      </c>
      <c r="E7" s="3">
        <v>9.4540000000000006</v>
      </c>
      <c r="F7" s="3">
        <v>64.236999999999995</v>
      </c>
      <c r="G7" s="3" t="str">
        <f>IF(OR(C7&gt;=11,D7&lt;=4,E7&lt;=7.5,F7&gt;=95),"TRIP",IF(OR(C7&gt;=7,D7&lt;=5,E7&lt;=8.5,F7&gt;=80),"ALARM","NORMAL"))</f>
        <v>NORMAL</v>
      </c>
      <c r="H7" s="2"/>
    </row>
    <row r="8" spans="1:8" ht="15">
      <c r="A8" s="3">
        <v>7</v>
      </c>
      <c r="B8" s="3" t="s">
        <v>51</v>
      </c>
      <c r="C8" s="3">
        <v>4.2489999999999997</v>
      </c>
      <c r="D8" s="3">
        <v>6.327</v>
      </c>
      <c r="E8" s="3">
        <v>9.4809999999999999</v>
      </c>
      <c r="F8" s="3">
        <v>64.575</v>
      </c>
      <c r="G8" s="3" t="str">
        <f>IF(OR(C8&gt;=11,D8&lt;=4,E8&lt;=7.5,F8&gt;=95),"TRIP",IF(OR(C8&gt;=7,D8&lt;=5,E8&lt;=8.5,F8&gt;=80),"ALARM","NORMAL"))</f>
        <v>NORMAL</v>
      </c>
      <c r="H8" s="2"/>
    </row>
    <row r="9" spans="1:8" ht="15">
      <c r="A9" s="3">
        <v>8</v>
      </c>
      <c r="B9" s="3" t="s">
        <v>52</v>
      </c>
      <c r="C9" s="3">
        <v>4.43</v>
      </c>
      <c r="D9" s="3">
        <v>6.2290000000000001</v>
      </c>
      <c r="E9" s="3">
        <v>9.3539999999999992</v>
      </c>
      <c r="F9" s="3">
        <v>66.063999999999993</v>
      </c>
      <c r="G9" s="3" t="str">
        <f>IF(OR(C9&gt;=11,D9&lt;=4,E9&lt;=7.5,F9&gt;=95),"TRIP",IF(OR(C9&gt;=7,D9&lt;=5,E9&lt;=8.5,F9&gt;=80),"ALARM","NORMAL"))</f>
        <v>NORMAL</v>
      </c>
      <c r="H9" s="2"/>
    </row>
    <row r="10" spans="1:8" ht="15">
      <c r="A10" s="3">
        <v>9</v>
      </c>
      <c r="B10" s="3" t="s">
        <v>53</v>
      </c>
      <c r="C10" s="3">
        <v>5.01</v>
      </c>
      <c r="D10" s="3">
        <v>6.1779999999999999</v>
      </c>
      <c r="E10" s="3">
        <v>9.2520000000000007</v>
      </c>
      <c r="F10" s="3">
        <v>67.55</v>
      </c>
      <c r="G10" s="3" t="str">
        <f>IF(OR(C10&gt;=11,D10&lt;=4,E10&lt;=7.5,F10&gt;=95),"TRIP",IF(OR(C10&gt;=7,D10&lt;=5,E10&lt;=8.5,F10&gt;=80),"ALARM","NORMAL"))</f>
        <v>NORMAL</v>
      </c>
      <c r="H10" s="2"/>
    </row>
    <row r="11" spans="1:8" ht="15">
      <c r="A11" s="3">
        <v>10</v>
      </c>
      <c r="B11" s="3" t="s">
        <v>54</v>
      </c>
      <c r="C11" s="3">
        <v>5.4370000000000003</v>
      </c>
      <c r="D11" s="3">
        <v>6.032</v>
      </c>
      <c r="E11" s="3">
        <v>9.1969999999999992</v>
      </c>
      <c r="F11" s="3">
        <v>69.352999999999994</v>
      </c>
      <c r="G11" s="3" t="str">
        <f>IF(OR(C11&gt;=11,D11&lt;=4,E11&lt;=7.5,F11&gt;=95),"TRIP",IF(OR(C11&gt;=7,D11&lt;=5,E11&lt;=8.5,F11&gt;=80),"ALARM","NORMAL"))</f>
        <v>NORMAL</v>
      </c>
      <c r="H11" s="2"/>
    </row>
    <row r="12" spans="1:8" ht="15">
      <c r="A12" s="3">
        <v>11</v>
      </c>
      <c r="B12" s="3" t="s">
        <v>55</v>
      </c>
      <c r="C12" s="3">
        <v>5.5970000000000004</v>
      </c>
      <c r="D12" s="3">
        <v>5.8920000000000003</v>
      </c>
      <c r="E12" s="3">
        <v>9.0289999999999999</v>
      </c>
      <c r="F12" s="3">
        <v>69.194999999999993</v>
      </c>
      <c r="G12" s="3" t="str">
        <f>IF(OR(C12&gt;=11,D12&lt;=4,E12&lt;=7.5,F12&gt;=95),"TRIP",IF(OR(C12&gt;=7,D12&lt;=5,E12&lt;=8.5,F12&gt;=80),"ALARM","NORMAL"))</f>
        <v>NORMAL</v>
      </c>
      <c r="H12" s="2"/>
    </row>
    <row r="13" spans="1:8" ht="15">
      <c r="A13" s="3">
        <v>12</v>
      </c>
      <c r="B13" s="3" t="s">
        <v>56</v>
      </c>
      <c r="C13" s="3">
        <v>6.115</v>
      </c>
      <c r="D13" s="3">
        <v>5.6909999999999998</v>
      </c>
      <c r="E13" s="3">
        <v>8.9689999999999994</v>
      </c>
      <c r="F13" s="3">
        <v>71.414000000000001</v>
      </c>
      <c r="G13" s="3" t="str">
        <f>IF(OR(C13&gt;=11,D13&lt;=4,E13&lt;=7.5,F13&gt;=95),"TRIP",IF(OR(C13&gt;=7,D13&lt;=5,E13&lt;=8.5,F13&gt;=80),"ALARM","NORMAL"))</f>
        <v>NORMAL</v>
      </c>
      <c r="H13" s="2"/>
    </row>
    <row r="14" spans="1:8" ht="15">
      <c r="A14" s="3">
        <v>13</v>
      </c>
      <c r="B14" s="3" t="s">
        <v>57</v>
      </c>
      <c r="C14" s="3">
        <v>6.4269999999999996</v>
      </c>
      <c r="D14" s="3">
        <v>5.5940000000000003</v>
      </c>
      <c r="E14" s="3">
        <v>8.7959999999999994</v>
      </c>
      <c r="F14" s="3">
        <v>74.061999999999998</v>
      </c>
      <c r="G14" s="3" t="str">
        <f>IF(OR(C14&gt;=11,D14&lt;=4,E14&lt;=7.5,F14&gt;=95),"TRIP",IF(OR(C14&gt;=7,D14&lt;=5,E14&lt;=8.5,F14&gt;=80),"ALARM","NORMAL"))</f>
        <v>NORMAL</v>
      </c>
      <c r="H14" s="2"/>
    </row>
    <row r="15" spans="1:8" ht="15">
      <c r="A15" s="3">
        <v>14</v>
      </c>
      <c r="B15" s="3" t="s">
        <v>58</v>
      </c>
      <c r="C15" s="3">
        <v>6.8739999999999997</v>
      </c>
      <c r="D15" s="3">
        <v>5.385</v>
      </c>
      <c r="E15" s="3">
        <v>8.7370000000000001</v>
      </c>
      <c r="F15" s="3">
        <v>76.228999999999999</v>
      </c>
      <c r="G15" s="3" t="str">
        <f>IF(OR(C15&gt;=11,D15&lt;=4,E15&lt;=7.5,F15&gt;=95),"TRIP",IF(OR(C15&gt;=7,D15&lt;=5,E15&lt;=8.5,F15&gt;=80),"ALARM","NORMAL"))</f>
        <v>NORMAL</v>
      </c>
      <c r="H15" s="2"/>
    </row>
    <row r="16" spans="1:8" ht="15">
      <c r="A16" s="3">
        <v>15</v>
      </c>
      <c r="B16" s="3" t="s">
        <v>59</v>
      </c>
      <c r="C16" s="3">
        <v>7.3710000000000004</v>
      </c>
      <c r="D16" s="3">
        <v>5.2569999999999997</v>
      </c>
      <c r="E16" s="3">
        <v>8.5980000000000008</v>
      </c>
      <c r="F16" s="3">
        <v>78.331000000000003</v>
      </c>
      <c r="G16" s="3" t="str">
        <f>IF(OR(C16&gt;=11,D16&lt;=4,E16&lt;=7.5,F16&gt;=95),"TRIP",IF(OR(C16&gt;=7,D16&lt;=5,E16&lt;=8.5,F16&gt;=80),"ALARM","NORMAL"))</f>
        <v>ALARM</v>
      </c>
      <c r="H16" s="2"/>
    </row>
    <row r="17" spans="1:8" ht="15">
      <c r="A17" s="3">
        <v>16</v>
      </c>
      <c r="B17" s="3" t="s">
        <v>60</v>
      </c>
      <c r="C17" s="3">
        <v>7.8819999999999997</v>
      </c>
      <c r="D17" s="3">
        <v>5.1890000000000001</v>
      </c>
      <c r="E17" s="3">
        <v>8.4139999999999997</v>
      </c>
      <c r="F17" s="3">
        <v>80.834000000000003</v>
      </c>
      <c r="G17" s="3" t="str">
        <f>IF(OR(C17&gt;=11,D17&lt;=4,E17&lt;=7.5,F17&gt;=95),"TRIP",IF(OR(C17&gt;=7,D17&lt;=5,E17&lt;=8.5,F17&gt;=80),"ALARM","NORMAL"))</f>
        <v>ALARM</v>
      </c>
      <c r="H17" s="2"/>
    </row>
    <row r="18" spans="1:8" ht="15">
      <c r="A18" s="3">
        <v>17</v>
      </c>
      <c r="B18" s="3" t="s">
        <v>61</v>
      </c>
      <c r="C18" s="3">
        <v>8.3469999999999995</v>
      </c>
      <c r="D18" s="3">
        <v>4.9109999999999996</v>
      </c>
      <c r="E18" s="3">
        <v>8.3010000000000002</v>
      </c>
      <c r="F18" s="3">
        <v>83.703000000000003</v>
      </c>
      <c r="G18" s="3" t="str">
        <f>IF(OR(C18&gt;=11,D18&lt;=4,E18&lt;=7.5,F18&gt;=95),"TRIP",IF(OR(C18&gt;=7,D18&lt;=5,E18&lt;=8.5,F18&gt;=80),"ALARM","NORMAL"))</f>
        <v>ALARM</v>
      </c>
      <c r="H18" s="2"/>
    </row>
    <row r="19" spans="1:8" ht="15">
      <c r="A19" s="3">
        <v>18</v>
      </c>
      <c r="B19" s="3" t="s">
        <v>62</v>
      </c>
      <c r="C19" s="3">
        <v>9.2680000000000007</v>
      </c>
      <c r="D19" s="3">
        <v>4.7130000000000001</v>
      </c>
      <c r="E19" s="3">
        <v>8.0530000000000008</v>
      </c>
      <c r="F19" s="3">
        <v>86.145</v>
      </c>
      <c r="G19" s="3" t="str">
        <f>IF(OR(C19&gt;=11,D19&lt;=4,E19&lt;=7.5,F19&gt;=95),"TRIP",IF(OR(C19&gt;=7,D19&lt;=5,E19&lt;=8.5,F19&gt;=80),"ALARM","NORMAL"))</f>
        <v>ALARM</v>
      </c>
      <c r="H19" s="2" t="s">
        <v>63</v>
      </c>
    </row>
    <row r="20" spans="1:8" ht="15">
      <c r="A20" s="3">
        <v>19</v>
      </c>
      <c r="B20" s="3" t="s">
        <v>64</v>
      </c>
      <c r="C20" s="3">
        <v>9.7639999999999993</v>
      </c>
      <c r="D20" s="3">
        <v>4.4400000000000004</v>
      </c>
      <c r="E20" s="3">
        <v>7.9219999999999997</v>
      </c>
      <c r="F20" s="3">
        <v>90.426000000000002</v>
      </c>
      <c r="G20" s="3" t="str">
        <f>IF(OR(C20&gt;=11,D20&lt;=4,E20&lt;=7.5,F20&gt;=95),"TRIP",IF(OR(C20&gt;=7,D20&lt;=5,E20&lt;=8.5,F20&gt;=80),"ALARM","NORMAL"))</f>
        <v>ALARM</v>
      </c>
      <c r="H20" s="2" t="s">
        <v>63</v>
      </c>
    </row>
    <row r="21" spans="1:8" ht="15">
      <c r="A21" s="3">
        <v>20</v>
      </c>
      <c r="B21" s="3" t="s">
        <v>65</v>
      </c>
      <c r="C21" s="3">
        <v>10.218</v>
      </c>
      <c r="D21" s="3">
        <v>4.3739999999999997</v>
      </c>
      <c r="E21" s="3">
        <v>7.70</v>
      </c>
      <c r="F21" s="3">
        <v>91.337999999999994</v>
      </c>
      <c r="G21" s="3" t="str">
        <f>IF(OR(C21&gt;=11,D21&lt;=4,E21&lt;=7.5,F21&gt;=95),"TRIP",IF(OR(C21&gt;=7,D21&lt;=5,E21&lt;=8.5,F21&gt;=80),"ALARM","NORMAL"))</f>
        <v>ALARM</v>
      </c>
      <c r="H21" s="2" t="s">
        <v>63</v>
      </c>
    </row>
    <row r="22" spans="1:8" ht="23.85">
      <c r="A22" s="3">
        <v>21</v>
      </c>
      <c r="B22" s="3" t="s">
        <v>66</v>
      </c>
      <c r="C22" s="3">
        <v>11.22</v>
      </c>
      <c r="D22" s="3">
        <v>3.92</v>
      </c>
      <c r="E22" s="3">
        <v>7.35</v>
      </c>
      <c r="F22" s="3">
        <v>96.90</v>
      </c>
      <c r="G22" s="3" t="str">
        <f>IF(OR(C22&gt;=11,D22&lt;=4,E22&lt;=7.5,F22&gt;=95),"TRIP",IF(OR(C22&gt;=7,D22&lt;=5,E22&lt;=8.5,F22&gt;=80),"ALARM","NORMAL"))</f>
        <v>TRIP</v>
      </c>
      <c r="H22" s="2" t="s">
        <v>67</v>
      </c>
    </row>
    <row r="23" spans="1:8" ht="15">
      <c r="A23" s="3">
        <v>22</v>
      </c>
      <c r="B23" s="3" t="s">
        <v>68</v>
      </c>
      <c r="C23" s="3">
        <v>3.6240000000000001</v>
      </c>
      <c r="D23" s="3">
        <v>6.2309999999999999</v>
      </c>
      <c r="E23" s="3">
        <v>9.5540000000000003</v>
      </c>
      <c r="F23" s="3">
        <v>58.930999999999997</v>
      </c>
      <c r="G23" s="3" t="str">
        <f>IF(OR(C23&gt;=11,D23&lt;=4,E23&lt;=7.5,F23&gt;=95),"TRIP",IF(OR(C23&gt;=7,D23&lt;=5,E23&lt;=8.5,F23&gt;=80),"ALARM","NORMAL"))</f>
        <v>NORMAL</v>
      </c>
      <c r="H23" s="2" t="s">
        <v>69</v>
      </c>
    </row>
    <row r="24" spans="1:8" ht="15">
      <c r="A24" s="3">
        <v>23</v>
      </c>
      <c r="B24" s="3" t="s">
        <v>70</v>
      </c>
      <c r="C24" s="3">
        <v>3.77</v>
      </c>
      <c r="D24" s="3">
        <v>6.5119999999999996</v>
      </c>
      <c r="E24" s="3">
        <v>9.7680000000000007</v>
      </c>
      <c r="F24" s="3">
        <v>61.511000000000003</v>
      </c>
      <c r="G24" s="3" t="str">
        <f>IF(OR(C24&gt;=11,D24&lt;=4,E24&lt;=7.5,F24&gt;=95),"TRIP",IF(OR(C24&gt;=7,D24&lt;=5,E24&lt;=8.5,F24&gt;=80),"ALARM","NORMAL"))</f>
        <v>NORMAL</v>
      </c>
      <c r="H24" s="2"/>
    </row>
    <row r="25" spans="1:8" ht="15">
      <c r="A25" s="3">
        <v>24</v>
      </c>
      <c r="B25" s="3" t="s">
        <v>71</v>
      </c>
      <c r="C25" s="3">
        <v>3.5870000000000002</v>
      </c>
      <c r="D25" s="3">
        <v>6.2569999999999997</v>
      </c>
      <c r="E25" s="3">
        <v>10.064</v>
      </c>
      <c r="F25" s="3">
        <v>61.063000000000002</v>
      </c>
      <c r="G25" s="3" t="str">
        <f>IF(OR(C25&gt;=11,D25&lt;=4,E25&lt;=7.5,F25&gt;=95),"TRIP",IF(OR(C25&gt;=7,D25&lt;=5,E25&lt;=8.5,F25&gt;=80),"ALARM","NORMAL"))</f>
        <v>NORMAL</v>
      </c>
      <c r="H25" s="2"/>
    </row>
    <row r="26" spans="1:8" ht="15">
      <c r="A26" s="3">
        <v>25</v>
      </c>
      <c r="B26" s="3" t="s">
        <v>72</v>
      </c>
      <c r="C26" s="3">
        <v>3.6920000000000002</v>
      </c>
      <c r="D26" s="3">
        <v>6.2510000000000003</v>
      </c>
      <c r="E26" s="3">
        <v>9.4280000000000008</v>
      </c>
      <c r="F26" s="3">
        <v>60.561999999999998</v>
      </c>
      <c r="G26" s="3" t="str">
        <f>IF(OR(C26&gt;=11,D26&lt;=4,E26&lt;=7.5,F26&gt;=95),"TRIP",IF(OR(C26&gt;=7,D26&lt;=5,E26&lt;=8.5,F26&gt;=80),"ALARM","NORMAL"))</f>
        <v>NORMAL</v>
      </c>
      <c r="H26" s="2"/>
    </row>
    <row r="27" spans="1:8" ht="15">
      <c r="A27" s="3">
        <v>26</v>
      </c>
      <c r="B27" s="3" t="s">
        <v>73</v>
      </c>
      <c r="C27" s="3">
        <v>3.7959999999999998</v>
      </c>
      <c r="D27" s="3">
        <v>6.4459999999999997</v>
      </c>
      <c r="E27" s="3">
        <v>9.51</v>
      </c>
      <c r="F27" s="3">
        <v>59.316000000000003</v>
      </c>
      <c r="G27" s="3" t="str">
        <f>IF(OR(C27&gt;=11,D27&lt;=4,E27&lt;=7.5,F27&gt;=95),"TRIP",IF(OR(C27&gt;=7,D27&lt;=5,E27&lt;=8.5,F27&gt;=80),"ALARM","NORMAL"))</f>
        <v>NORMAL</v>
      </c>
      <c r="H27" s="2"/>
    </row>
  </sheetData>
  <conditionalFormatting sqref="G2:G27">
    <cfRule type="cellIs" priority="2" dxfId="2" operator="equal">
      <formula>"TRIP"</formula>
    </cfRule>
    <cfRule type="cellIs" priority="3" dxfId="1" operator="equal">
      <formula>"ALARM"</formula>
    </cfRule>
    <cfRule type="cellIs" priority="4" dxfId="0" operator="equal">
      <formula>"NORMAL"</formula>
    </cfRule>
  </conditionalFormatting>
  <pageMargins left="0.75" right="0.75" top="1" bottom="1" header="0.511811023622047" footer="0.511811023622047"/>
  <pageSetup horizontalDpi="300" verticalDpi="300"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"/>
  <sheetViews>
    <sheetView workbookViewId="0" topLeftCell="A1"/>
  </sheetViews>
  <sheetFormatPr defaultColWidth="8.71428571428571" defaultRowHeight="15"/>
  <cols>
    <col min="1" max="1" width="28" customWidth="1"/>
    <col min="2" max="2" width="16" customWidth="1"/>
    <col min="3" max="3" width="34" customWidth="1"/>
  </cols>
  <sheetData>
    <row r="1" spans="1:3" ht="17.45">
      <c r="A1" s="9" t="s">
        <v>74</v>
      </c>
      <c r="B1" s="9"/>
      <c r="C1" s="9"/>
    </row>
    <row r="3" spans="1:3" ht="15">
      <c r="A3" s="4" t="s">
        <v>75</v>
      </c>
      <c r="B3" s="4" t="s">
        <v>76</v>
      </c>
      <c r="C3" s="4" t="s">
        <v>77</v>
      </c>
    </row>
    <row r="4" spans="1:3" ht="15">
      <c r="A4" s="1" t="s">
        <v>78</v>
      </c>
      <c r="B4" s="3">
        <v>26</v>
      </c>
      <c r="C4" s="5" t="s">
        <v>79</v>
      </c>
    </row>
    <row r="5" spans="1:3" ht="15">
      <c r="A5" s="1" t="s">
        <v>80</v>
      </c>
      <c r="B5" s="3">
        <v>18.50</v>
      </c>
      <c r="C5" s="5" t="s">
        <v>81</v>
      </c>
    </row>
    <row r="6" spans="1:3" ht="15">
      <c r="A6" s="1" t="s">
        <v>82</v>
      </c>
      <c r="B6" s="3">
        <v>4368</v>
      </c>
      <c r="C6" s="5">
        <f>26*7*24</f>
        <v>4368</v>
      </c>
    </row>
    <row r="7" spans="1:3" ht="15">
      <c r="A7" s="1" t="s">
        <v>83</v>
      </c>
      <c r="B7" s="6">
        <f>(1-18.5/4368)*100</f>
        <v>99.576465201465197</v>
      </c>
      <c r="C7" s="5" t="s">
        <v>84</v>
      </c>
    </row>
    <row r="8" spans="1:3" ht="15">
      <c r="A8" s="1" t="s">
        <v>85</v>
      </c>
      <c r="B8" s="3">
        <v>1</v>
      </c>
      <c r="C8" s="5" t="s">
        <v>86</v>
      </c>
    </row>
    <row r="9" spans="1:3" ht="15">
      <c r="A9" s="1" t="s">
        <v>87</v>
      </c>
      <c r="B9" s="3">
        <f>4368/1</f>
        <v>4368</v>
      </c>
      <c r="C9" s="5" t="s">
        <v>88</v>
      </c>
    </row>
    <row r="10" spans="1:3" ht="15">
      <c r="A10" s="1" t="s">
        <v>89</v>
      </c>
      <c r="B10" s="3">
        <v>18.50</v>
      </c>
      <c r="C10" s="5" t="s">
        <v>90</v>
      </c>
    </row>
    <row r="11" spans="1:3" ht="15">
      <c r="A11" s="1" t="s">
        <v>91</v>
      </c>
      <c r="B11" s="3">
        <f>COUNTIF('Condition History'!G2:G27,"ALARM")</f>
        <v>6</v>
      </c>
      <c r="C11" s="5" t="s">
        <v>92</v>
      </c>
    </row>
    <row r="12" spans="1:3" ht="15">
      <c r="A12" s="1" t="s">
        <v>93</v>
      </c>
      <c r="B12" s="3">
        <f>COUNTIF('Condition History'!G2:G27,"TRIP")</f>
        <v>1</v>
      </c>
      <c r="C12" s="5" t="s">
        <v>94</v>
      </c>
    </row>
    <row r="13" spans="1:3" ht="15">
      <c r="A13" s="1" t="s">
        <v>95</v>
      </c>
      <c r="B13" s="3">
        <f>COUNTIF('Condition History'!G2:G27,"NORMAL")</f>
        <v>19</v>
      </c>
      <c r="C13" s="5" t="s">
        <v>96</v>
      </c>
    </row>
    <row r="14" spans="1:3" ht="15">
      <c r="A14" s="1" t="s">
        <v>97</v>
      </c>
      <c r="B14" s="6">
        <v>92</v>
      </c>
      <c r="C14" s="5" t="s">
        <v>98</v>
      </c>
    </row>
    <row r="15" spans="1:3" ht="15">
      <c r="A15" s="1" t="s">
        <v>99</v>
      </c>
      <c r="B15" s="3">
        <v>251.60</v>
      </c>
      <c r="C15" s="5" t="s">
        <v>100</v>
      </c>
    </row>
    <row r="16" spans="1:3" ht="15">
      <c r="A16" s="1" t="s">
        <v>101</v>
      </c>
      <c r="B16" s="3">
        <v>226.44</v>
      </c>
      <c r="C16" s="5" t="s">
        <v>102</v>
      </c>
    </row>
  </sheetData>
  <mergeCells count="1">
    <mergeCell ref="A1:C1"/>
  </mergeCells>
  <pageMargins left="0.75" right="0.75" top="1" bottom="1" header="0.511811023622047" footer="0.511811023622047"/>
  <pageSetup horizontalDpi="300" verticalDpi="300"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F8482E2-15DA-4905-85A9-CCA10B93BAA9}">
  <dimension ref="A1:D15"/>
  <sheetViews>
    <sheetView workbookViewId="0" topLeftCell="A1">
      <selection pane="topLeft" activeCell="B9" sqref="B9"/>
    </sheetView>
  </sheetViews>
  <sheetFormatPr defaultColWidth="8.71428571428571" defaultRowHeight="15"/>
  <cols>
    <col min="1" max="1" width="22" customWidth="1"/>
    <col min="2" max="2" width="30" customWidth="1"/>
    <col min="3" max="3" width="26" customWidth="1"/>
    <col min="4" max="4" width="16" customWidth="1"/>
  </cols>
  <sheetData>
    <row r="1" spans="1:4" ht="17.45" customHeight="1">
      <c r="A1" s="7" t="s">
        <v>0</v>
      </c>
      <c r="B1" s="7"/>
      <c r="C1" s="7"/>
      <c r="D1" s="7"/>
    </row>
    <row r="3" spans="1:4" ht="15" customHeight="1">
      <c r="A3" s="8" t="s">
        <v>1</v>
      </c>
      <c r="B3" s="8"/>
      <c r="C3" s="8" t="s">
        <v>2</v>
      </c>
      <c r="D3" s="8"/>
    </row>
    <row r="4" spans="1:4" ht="15">
      <c r="A4" s="1" t="s">
        <v>3</v>
      </c>
      <c r="B4" s="2" t="s">
        <v>103</v>
      </c>
      <c r="C4" s="1" t="s">
        <v>5</v>
      </c>
      <c r="D4" s="1" t="s">
        <v>6</v>
      </c>
    </row>
    <row r="5" spans="1:4" ht="15">
      <c r="A5" s="1" t="s">
        <v>7</v>
      </c>
      <c r="B5" s="2" t="s">
        <v>104</v>
      </c>
      <c r="C5" s="2" t="s">
        <v>105</v>
      </c>
      <c r="D5" s="3" t="s">
        <v>106</v>
      </c>
    </row>
    <row r="6" spans="1:4" ht="15">
      <c r="A6" s="1" t="s">
        <v>11</v>
      </c>
      <c r="B6" s="2" t="s">
        <v>107</v>
      </c>
      <c r="C6" s="2" t="s">
        <v>108</v>
      </c>
      <c r="D6" s="3" t="s">
        <v>109</v>
      </c>
    </row>
    <row r="7" spans="1:4" ht="15">
      <c r="A7" s="1" t="s">
        <v>15</v>
      </c>
      <c r="B7" s="2" t="s">
        <v>110</v>
      </c>
      <c r="C7" s="2" t="s">
        <v>111</v>
      </c>
      <c r="D7" s="3" t="s">
        <v>112</v>
      </c>
    </row>
    <row r="8" spans="1:4" ht="15">
      <c r="A8" s="1" t="s">
        <v>19</v>
      </c>
      <c r="B8" s="2" t="s">
        <v>113</v>
      </c>
      <c r="C8" s="2" t="s">
        <v>114</v>
      </c>
      <c r="D8" s="3" t="s">
        <v>115</v>
      </c>
    </row>
    <row r="9" spans="1:2" ht="15">
      <c r="A9" s="1" t="s">
        <v>23</v>
      </c>
      <c r="B9" s="2" t="s">
        <v>24</v>
      </c>
    </row>
    <row r="10" spans="1:2" ht="15">
      <c r="A10" s="1" t="s">
        <v>25</v>
      </c>
      <c r="B10" s="2" t="s">
        <v>116</v>
      </c>
    </row>
    <row r="11" spans="1:2" ht="23.85">
      <c r="A11" s="1" t="s">
        <v>27</v>
      </c>
      <c r="B11" s="2" t="s">
        <v>28</v>
      </c>
    </row>
    <row r="12" spans="1:2" ht="23.85">
      <c r="A12" s="1" t="s">
        <v>29</v>
      </c>
      <c r="B12" s="2" t="s">
        <v>30</v>
      </c>
    </row>
    <row r="13" spans="1:2" ht="15">
      <c r="A13" s="1" t="s">
        <v>31</v>
      </c>
      <c r="B13" s="2" t="s">
        <v>117</v>
      </c>
    </row>
    <row r="14" spans="1:2" ht="15">
      <c r="A14" s="1" t="s">
        <v>33</v>
      </c>
      <c r="B14" s="2" t="s">
        <v>118</v>
      </c>
    </row>
    <row r="15" spans="1:2" ht="23.85">
      <c r="A15" s="1" t="s">
        <v>35</v>
      </c>
      <c r="B15" s="2" t="s">
        <v>119</v>
      </c>
    </row>
  </sheetData>
  <mergeCells count="3">
    <mergeCell ref="A1:D1"/>
    <mergeCell ref="A3:B3"/>
    <mergeCell ref="C3:D3"/>
  </mergeCells>
  <pageMargins left="0.75" right="0.75" top="1" bottom="1" header="0.511811023622047" footer="0.511811023622047"/>
  <pageSetup horizontalDpi="300" verticalDpi="300"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AA35525-433C-4EEC-B1F4-470F6E9FBAA9}">
  <dimension ref="A1:H27"/>
  <sheetViews>
    <sheetView workbookViewId="0" topLeftCell="A1">
      <pane xSplit="2" ySplit="1" topLeftCell="C10" activePane="bottomRight" state="frozen"/>
      <selection pane="topLeft" activeCell="A1" sqref="A1"/>
      <selection pane="bottomLeft" activeCell="A2" sqref="A2"/>
      <selection pane="topRight" activeCell="C1" sqref="C1"/>
      <selection pane="bottomRight" activeCell="A1" sqref="A1"/>
    </sheetView>
  </sheetViews>
  <sheetFormatPr defaultColWidth="8.71428571428571" defaultRowHeight="15"/>
  <cols>
    <col min="1" max="1" width="6" customWidth="1"/>
    <col min="2" max="2" width="12" customWidth="1"/>
    <col min="3" max="7" width="13" customWidth="1"/>
    <col min="8" max="8" width="42" customWidth="1"/>
  </cols>
  <sheetData>
    <row r="1" spans="1:8" ht="33.75" customHeight="1">
      <c r="A1" s="4" t="s">
        <v>37</v>
      </c>
      <c r="B1" s="4" t="s">
        <v>38</v>
      </c>
      <c r="C1" s="4" t="s">
        <v>120</v>
      </c>
      <c r="D1" s="4" t="s">
        <v>121</v>
      </c>
      <c r="E1" s="4" t="s">
        <v>122</v>
      </c>
      <c r="F1" s="4" t="s">
        <v>123</v>
      </c>
      <c r="G1" s="4" t="s">
        <v>43</v>
      </c>
      <c r="H1" s="4" t="s">
        <v>44</v>
      </c>
    </row>
    <row r="2" spans="1:8" ht="15">
      <c r="A2" s="3">
        <v>1</v>
      </c>
      <c r="B2" s="3" t="s">
        <v>124</v>
      </c>
      <c r="C2" s="3">
        <v>28.914000000000001</v>
      </c>
      <c r="D2" s="3">
        <v>259.77699999999999</v>
      </c>
      <c r="E2" s="3">
        <v>1.7989999999999999</v>
      </c>
      <c r="F2" s="3">
        <v>78.671000000000006</v>
      </c>
      <c r="G2" s="3" t="str">
        <f>IF(OR(C2&gt;=75,D2&gt;=1500,E2&lt;=1.1,F2&gt;=110),"TRIP",IF(OR(C2&gt;=45,D2&gt;=500,E2&lt;=1.4,F2&gt;=95),"ALARM","NORMAL"))</f>
        <v>NORMAL</v>
      </c>
      <c r="H2" s="2"/>
    </row>
    <row r="3" spans="1:8" ht="15">
      <c r="A3" s="3">
        <v>2</v>
      </c>
      <c r="B3" s="3" t="s">
        <v>125</v>
      </c>
      <c r="C3" s="3">
        <v>26.899000000000001</v>
      </c>
      <c r="D3" s="3">
        <v>299.79599999999999</v>
      </c>
      <c r="E3" s="3">
        <v>1.776</v>
      </c>
      <c r="F3" s="3">
        <v>77.664000000000001</v>
      </c>
      <c r="G3" s="3" t="str">
        <f>IF(OR(C3&gt;=75,D3&gt;=1500,E3&lt;=1.1,F3&gt;=110),"TRIP",IF(OR(C3&gt;=45,D3&gt;=500,E3&lt;=1.4,F3&gt;=95),"ALARM","NORMAL"))</f>
        <v>NORMAL</v>
      </c>
      <c r="H3" s="2"/>
    </row>
    <row r="4" spans="1:8" ht="15">
      <c r="A4" s="3">
        <v>3</v>
      </c>
      <c r="B4" s="3" t="s">
        <v>126</v>
      </c>
      <c r="C4" s="3">
        <v>29.739000000000001</v>
      </c>
      <c r="D4" s="3">
        <v>226.415</v>
      </c>
      <c r="E4" s="3">
        <v>1.794</v>
      </c>
      <c r="F4" s="3">
        <v>78.343999999999994</v>
      </c>
      <c r="G4" s="3" t="str">
        <f>IF(OR(C4&gt;=75,D4&gt;=1500,E4&lt;=1.1,F4&gt;=110),"TRIP",IF(OR(C4&gt;=45,D4&gt;=500,E4&lt;=1.4,F4&gt;=95),"ALARM","NORMAL"))</f>
        <v>NORMAL</v>
      </c>
      <c r="H4" s="2"/>
    </row>
    <row r="5" spans="1:8" ht="15">
      <c r="A5" s="3">
        <v>4</v>
      </c>
      <c r="B5" s="3" t="s">
        <v>127</v>
      </c>
      <c r="C5" s="3">
        <v>29.024000000000001</v>
      </c>
      <c r="D5" s="3">
        <v>255.76599999999999</v>
      </c>
      <c r="E5" s="3">
        <v>1.79</v>
      </c>
      <c r="F5" s="3">
        <v>78.498999999999995</v>
      </c>
      <c r="G5" s="3" t="str">
        <f>IF(OR(C5&gt;=75,D5&gt;=1500,E5&lt;=1.1,F5&gt;=110),"TRIP",IF(OR(C5&gt;=45,D5&gt;=500,E5&lt;=1.4,F5&gt;=95),"ALARM","NORMAL"))</f>
        <v>NORMAL</v>
      </c>
      <c r="H5" s="2"/>
    </row>
    <row r="6" spans="1:8" ht="15">
      <c r="A6" s="3">
        <v>5</v>
      </c>
      <c r="B6" s="3" t="s">
        <v>128</v>
      </c>
      <c r="C6" s="3">
        <v>28.658000000000001</v>
      </c>
      <c r="D6" s="3">
        <v>292.84899999999999</v>
      </c>
      <c r="E6" s="3">
        <v>1.784</v>
      </c>
      <c r="F6" s="3">
        <v>78.356999999999999</v>
      </c>
      <c r="G6" s="3" t="str">
        <f>IF(OR(C6&gt;=75,D6&gt;=1500,E6&lt;=1.1,F6&gt;=110),"TRIP",IF(OR(C6&gt;=45,D6&gt;=500,E6&lt;=1.4,F6&gt;=95),"ALARM","NORMAL"))</f>
        <v>NORMAL</v>
      </c>
      <c r="H6" s="2"/>
    </row>
    <row r="7" spans="1:8" ht="15">
      <c r="A7" s="3">
        <v>6</v>
      </c>
      <c r="B7" s="3" t="s">
        <v>129</v>
      </c>
      <c r="C7" s="3">
        <v>30.289000000000001</v>
      </c>
      <c r="D7" s="3">
        <v>350.73399999999998</v>
      </c>
      <c r="E7" s="3">
        <v>1.748</v>
      </c>
      <c r="F7" s="3">
        <v>80.498000000000005</v>
      </c>
      <c r="G7" s="3" t="str">
        <f>IF(OR(C7&gt;=75,D7&gt;=1500,E7&lt;=1.1,F7&gt;=110),"TRIP",IF(OR(C7&gt;=45,D7&gt;=500,E7&lt;=1.4,F7&gt;=95),"ALARM","NORMAL"))</f>
        <v>NORMAL</v>
      </c>
      <c r="H7" s="2"/>
    </row>
    <row r="8" spans="1:8" ht="15">
      <c r="A8" s="3">
        <v>7</v>
      </c>
      <c r="B8" s="3" t="s">
        <v>130</v>
      </c>
      <c r="C8" s="3">
        <v>33.697000000000003</v>
      </c>
      <c r="D8" s="3">
        <v>387.77300000000002</v>
      </c>
      <c r="E8" s="3">
        <v>1.73</v>
      </c>
      <c r="F8" s="3">
        <v>81.481999999999999</v>
      </c>
      <c r="G8" s="3" t="str">
        <f>IF(OR(C8&gt;=75,D8&gt;=1500,E8&lt;=1.1,F8&gt;=110),"TRIP",IF(OR(C8&gt;=45,D8&gt;=500,E8&lt;=1.4,F8&gt;=95),"ALARM","NORMAL"))</f>
        <v>NORMAL</v>
      </c>
      <c r="H8" s="2"/>
    </row>
    <row r="9" spans="1:8" ht="15">
      <c r="A9" s="3">
        <v>8</v>
      </c>
      <c r="B9" s="3" t="s">
        <v>131</v>
      </c>
      <c r="C9" s="3">
        <v>33.93</v>
      </c>
      <c r="D9" s="3">
        <v>384.41199999999998</v>
      </c>
      <c r="E9" s="3">
        <v>1.7330000000000001</v>
      </c>
      <c r="F9" s="3">
        <v>81.741</v>
      </c>
      <c r="G9" s="3" t="str">
        <f>IF(OR(C9&gt;=75,D9&gt;=1500,E9&lt;=1.1,F9&gt;=110),"TRIP",IF(OR(C9&gt;=45,D9&gt;=500,E9&lt;=1.4,F9&gt;=95),"ALARM","NORMAL"))</f>
        <v>NORMAL</v>
      </c>
      <c r="H9" s="2"/>
    </row>
    <row r="10" spans="1:8" ht="15">
      <c r="A10" s="3">
        <v>9</v>
      </c>
      <c r="B10" s="3" t="s">
        <v>132</v>
      </c>
      <c r="C10" s="3">
        <v>35.439</v>
      </c>
      <c r="D10" s="3">
        <v>470.81400000000002</v>
      </c>
      <c r="E10" s="3">
        <v>1.705</v>
      </c>
      <c r="F10" s="3">
        <v>83.040999999999997</v>
      </c>
      <c r="G10" s="3" t="str">
        <f>IF(OR(C10&gt;=75,D10&gt;=1500,E10&lt;=1.1,F10&gt;=110),"TRIP",IF(OR(C10&gt;=45,D10&gt;=500,E10&lt;=1.4,F10&gt;=95),"ALARM","NORMAL"))</f>
        <v>NORMAL</v>
      </c>
      <c r="H10" s="2"/>
    </row>
    <row r="11" spans="1:8" ht="15">
      <c r="A11" s="3">
        <v>10</v>
      </c>
      <c r="B11" s="3" t="s">
        <v>133</v>
      </c>
      <c r="C11" s="3">
        <v>37.665</v>
      </c>
      <c r="D11" s="3">
        <v>501.21300000000002</v>
      </c>
      <c r="E11" s="3">
        <v>1.635</v>
      </c>
      <c r="F11" s="3">
        <v>84.891999999999996</v>
      </c>
      <c r="G11" s="3" t="str">
        <f>IF(OR(C11&gt;=75,D11&gt;=1500,E11&lt;=1.1,F11&gt;=110),"TRIP",IF(OR(C11&gt;=45,D11&gt;=500,E11&lt;=1.4,F11&gt;=95),"ALARM","NORMAL"))</f>
        <v>ALARM</v>
      </c>
      <c r="H11" s="2"/>
    </row>
    <row r="12" spans="1:8" ht="15">
      <c r="A12" s="3">
        <v>11</v>
      </c>
      <c r="B12" s="3" t="s">
        <v>134</v>
      </c>
      <c r="C12" s="3">
        <v>39.585999999999999</v>
      </c>
      <c r="D12" s="3">
        <v>587.81100000000004</v>
      </c>
      <c r="E12" s="3">
        <v>1.633</v>
      </c>
      <c r="F12" s="3">
        <v>87.153000000000006</v>
      </c>
      <c r="G12" s="3" t="str">
        <f>IF(OR(C12&gt;=75,D12&gt;=1500,E12&lt;=1.1,F12&gt;=110),"TRIP",IF(OR(C12&gt;=45,D12&gt;=500,E12&lt;=1.4,F12&gt;=95),"ALARM","NORMAL"))</f>
        <v>ALARM</v>
      </c>
      <c r="H12" s="2"/>
    </row>
    <row r="13" spans="1:8" ht="15">
      <c r="A13" s="3">
        <v>12</v>
      </c>
      <c r="B13" s="3" t="s">
        <v>135</v>
      </c>
      <c r="C13" s="3">
        <v>41.609000000000002</v>
      </c>
      <c r="D13" s="3">
        <v>630.01099999999997</v>
      </c>
      <c r="E13" s="3">
        <v>1.6020000000000001</v>
      </c>
      <c r="F13" s="3">
        <v>87.656999999999996</v>
      </c>
      <c r="G13" s="3" t="str">
        <f>IF(OR(C13&gt;=75,D13&gt;=1500,E13&lt;=1.1,F13&gt;=110),"TRIP",IF(OR(C13&gt;=45,D13&gt;=500,E13&lt;=1.4,F13&gt;=95),"ALARM","NORMAL"))</f>
        <v>ALARM</v>
      </c>
      <c r="H13" s="2"/>
    </row>
    <row r="14" spans="1:8" ht="15">
      <c r="A14" s="3">
        <v>13</v>
      </c>
      <c r="B14" s="3" t="s">
        <v>136</v>
      </c>
      <c r="C14" s="3">
        <v>45.505</v>
      </c>
      <c r="D14" s="3">
        <v>713.73599999999999</v>
      </c>
      <c r="E14" s="3">
        <v>1.538</v>
      </c>
      <c r="F14" s="3">
        <v>90.79</v>
      </c>
      <c r="G14" s="3" t="str">
        <f>IF(OR(C14&gt;=75,D14&gt;=1500,E14&lt;=1.1,F14&gt;=110),"TRIP",IF(OR(C14&gt;=45,D14&gt;=500,E14&lt;=1.4,F14&gt;=95),"ALARM","NORMAL"))</f>
        <v>ALARM</v>
      </c>
      <c r="H14" s="2"/>
    </row>
    <row r="15" spans="1:8" ht="15">
      <c r="A15" s="3">
        <v>14</v>
      </c>
      <c r="B15" s="3" t="s">
        <v>137</v>
      </c>
      <c r="C15" s="3">
        <v>49.237000000000002</v>
      </c>
      <c r="D15" s="3">
        <v>778.64400000000001</v>
      </c>
      <c r="E15" s="3">
        <v>1.518</v>
      </c>
      <c r="F15" s="3">
        <v>92.430999999999997</v>
      </c>
      <c r="G15" s="3" t="str">
        <f>IF(OR(C15&gt;=75,D15&gt;=1500,E15&lt;=1.1,F15&gt;=110),"TRIP",IF(OR(C15&gt;=45,D15&gt;=500,E15&lt;=1.4,F15&gt;=95),"ALARM","NORMAL"))</f>
        <v>ALARM</v>
      </c>
      <c r="H15" s="2"/>
    </row>
    <row r="16" spans="1:8" ht="15">
      <c r="A16" s="3">
        <v>15</v>
      </c>
      <c r="B16" s="3" t="s">
        <v>138</v>
      </c>
      <c r="C16" s="3">
        <v>51.110999999999997</v>
      </c>
      <c r="D16" s="3">
        <v>840.66</v>
      </c>
      <c r="E16" s="3">
        <v>1.454</v>
      </c>
      <c r="F16" s="3">
        <v>92.528000000000006</v>
      </c>
      <c r="G16" s="3" t="str">
        <f>IF(OR(C16&gt;=75,D16&gt;=1500,E16&lt;=1.1,F16&gt;=110),"TRIP",IF(OR(C16&gt;=45,D16&gt;=500,E16&lt;=1.4,F16&gt;=95),"ALARM","NORMAL"))</f>
        <v>ALARM</v>
      </c>
      <c r="H16" s="2"/>
    </row>
    <row r="17" spans="1:8" ht="15">
      <c r="A17" s="3">
        <v>16</v>
      </c>
      <c r="B17" s="3" t="s">
        <v>139</v>
      </c>
      <c r="C17" s="3">
        <v>55.927</v>
      </c>
      <c r="D17" s="3">
        <v>929.85299999999995</v>
      </c>
      <c r="E17" s="3">
        <v>1.401</v>
      </c>
      <c r="F17" s="3">
        <v>95.960999999999999</v>
      </c>
      <c r="G17" s="3" t="str">
        <f>IF(OR(C17&gt;=75,D17&gt;=1500,E17&lt;=1.1,F17&gt;=110),"TRIP",IF(OR(C17&gt;=45,D17&gt;=500,E17&lt;=1.4,F17&gt;=95),"ALARM","NORMAL"))</f>
        <v>ALARM</v>
      </c>
      <c r="H17" s="2"/>
    </row>
    <row r="18" spans="1:8" ht="15">
      <c r="A18" s="3">
        <v>17</v>
      </c>
      <c r="B18" s="3" t="s">
        <v>140</v>
      </c>
      <c r="C18" s="3">
        <v>59.122999999999998</v>
      </c>
      <c r="D18" s="3">
        <v>1062.337</v>
      </c>
      <c r="E18" s="3">
        <v>1.335</v>
      </c>
      <c r="F18" s="3">
        <v>98.831999999999994</v>
      </c>
      <c r="G18" s="3" t="str">
        <f>IF(OR(C18&gt;=75,D18&gt;=1500,E18&lt;=1.1,F18&gt;=110),"TRIP",IF(OR(C18&gt;=45,D18&gt;=500,E18&lt;=1.4,F18&gt;=95),"ALARM","NORMAL"))</f>
        <v>ALARM</v>
      </c>
      <c r="H18" s="2"/>
    </row>
    <row r="19" spans="1:8" ht="15">
      <c r="A19" s="3">
        <v>18</v>
      </c>
      <c r="B19" s="3" t="s">
        <v>141</v>
      </c>
      <c r="C19" s="3">
        <v>60.529000000000003</v>
      </c>
      <c r="D19" s="3">
        <v>1135.42</v>
      </c>
      <c r="E19" s="3">
        <v>1.3129999999999999</v>
      </c>
      <c r="F19" s="3">
        <v>100.992</v>
      </c>
      <c r="G19" s="3" t="str">
        <f>IF(OR(C19&gt;=75,D19&gt;=1500,E19&lt;=1.1,F19&gt;=110),"TRIP",IF(OR(C19&gt;=45,D19&gt;=500,E19&lt;=1.4,F19&gt;=95),"ALARM","NORMAL"))</f>
        <v>ALARM</v>
      </c>
      <c r="H19" s="2" t="s">
        <v>63</v>
      </c>
    </row>
    <row r="20" spans="1:8" ht="15">
      <c r="A20" s="3">
        <v>19</v>
      </c>
      <c r="B20" s="3" t="s">
        <v>142</v>
      </c>
      <c r="C20" s="3">
        <v>66.73</v>
      </c>
      <c r="D20" s="3">
        <v>1237.7850000000001</v>
      </c>
      <c r="E20" s="3">
        <v>1.2190000000000001</v>
      </c>
      <c r="F20" s="3">
        <v>104.623</v>
      </c>
      <c r="G20" s="3" t="str">
        <f>IF(OR(C20&gt;=75,D20&gt;=1500,E20&lt;=1.1,F20&gt;=110),"TRIP",IF(OR(C20&gt;=45,D20&gt;=500,E20&lt;=1.4,F20&gt;=95),"ALARM","NORMAL"))</f>
        <v>ALARM</v>
      </c>
      <c r="H20" s="2" t="s">
        <v>63</v>
      </c>
    </row>
    <row r="21" spans="1:8" ht="15">
      <c r="A21" s="3">
        <v>20</v>
      </c>
      <c r="B21" s="3" t="s">
        <v>143</v>
      </c>
      <c r="C21" s="3">
        <v>71.674000000000007</v>
      </c>
      <c r="D21" s="3">
        <v>1372.7909999999999</v>
      </c>
      <c r="E21" s="3">
        <v>1.1220000000000001</v>
      </c>
      <c r="F21" s="3">
        <v>107.142</v>
      </c>
      <c r="G21" s="3" t="str">
        <f>IF(OR(C21&gt;=75,D21&gt;=1500,E21&lt;=1.1,F21&gt;=110),"TRIP",IF(OR(C21&gt;=45,D21&gt;=500,E21&lt;=1.4,F21&gt;=95),"ALARM","NORMAL"))</f>
        <v>ALARM</v>
      </c>
      <c r="H21" s="2" t="s">
        <v>63</v>
      </c>
    </row>
    <row r="22" spans="1:8" ht="23.85">
      <c r="A22" s="3">
        <v>21</v>
      </c>
      <c r="B22" s="3" t="s">
        <v>144</v>
      </c>
      <c r="C22" s="3">
        <v>76.50</v>
      </c>
      <c r="D22" s="3">
        <v>1530</v>
      </c>
      <c r="E22" s="3">
        <v>1.0780000000000001</v>
      </c>
      <c r="F22" s="3">
        <v>112.20</v>
      </c>
      <c r="G22" s="3" t="str">
        <f>IF(OR(C22&gt;=75,D22&gt;=1500,E22&lt;=1.1,F22&gt;=110),"TRIP",IF(OR(C22&gt;=45,D22&gt;=500,E22&lt;=1.4,F22&gt;=95),"ALARM","NORMAL"))</f>
        <v>TRIP</v>
      </c>
      <c r="H22" s="2" t="s">
        <v>145</v>
      </c>
    </row>
    <row r="23" spans="1:8" ht="15">
      <c r="A23" s="3">
        <v>22</v>
      </c>
      <c r="B23" s="3" t="s">
        <v>146</v>
      </c>
      <c r="C23" s="3">
        <v>27.111000000000001</v>
      </c>
      <c r="D23" s="3">
        <v>248.268</v>
      </c>
      <c r="E23" s="3">
        <v>1.718</v>
      </c>
      <c r="F23" s="3">
        <v>76.162000000000006</v>
      </c>
      <c r="G23" s="3" t="str">
        <f>IF(OR(C23&gt;=75,D23&gt;=1500,E23&lt;=1.1,F23&gt;=110),"TRIP",IF(OR(C23&gt;=45,D23&gt;=500,E23&lt;=1.4,F23&gt;=95),"ALARM","NORMAL"))</f>
        <v>NORMAL</v>
      </c>
      <c r="H23" s="2" t="s">
        <v>69</v>
      </c>
    </row>
    <row r="24" spans="1:8" ht="15">
      <c r="A24" s="3">
        <v>23</v>
      </c>
      <c r="B24" s="3" t="s">
        <v>147</v>
      </c>
      <c r="C24" s="3">
        <v>27.704000000000001</v>
      </c>
      <c r="D24" s="3">
        <v>241.51599999999999</v>
      </c>
      <c r="E24" s="3">
        <v>1.6839999999999999</v>
      </c>
      <c r="F24" s="3">
        <v>73.735</v>
      </c>
      <c r="G24" s="3" t="str">
        <f>IF(OR(C24&gt;=75,D24&gt;=1500,E24&lt;=1.1,F24&gt;=110),"TRIP",IF(OR(C24&gt;=45,D24&gt;=500,E24&lt;=1.4,F24&gt;=95),"ALARM","NORMAL"))</f>
        <v>NORMAL</v>
      </c>
      <c r="H24" s="2"/>
    </row>
    <row r="25" spans="1:8" ht="15">
      <c r="A25" s="3">
        <v>24</v>
      </c>
      <c r="B25" s="3" t="s">
        <v>148</v>
      </c>
      <c r="C25" s="3">
        <v>26.92</v>
      </c>
      <c r="D25" s="3">
        <v>244.244</v>
      </c>
      <c r="E25" s="3">
        <v>1.84</v>
      </c>
      <c r="F25" s="3">
        <v>77.069999999999993</v>
      </c>
      <c r="G25" s="3" t="str">
        <f>IF(OR(C25&gt;=75,D25&gt;=1500,E25&lt;=1.1,F25&gt;=110),"TRIP",IF(OR(C25&gt;=45,D25&gt;=500,E25&lt;=1.4,F25&gt;=95),"ALARM","NORMAL"))</f>
        <v>NORMAL</v>
      </c>
      <c r="H25" s="2"/>
    </row>
    <row r="26" spans="1:8" ht="15">
      <c r="A26" s="3">
        <v>25</v>
      </c>
      <c r="B26" s="3" t="s">
        <v>149</v>
      </c>
      <c r="C26" s="3">
        <v>27.433</v>
      </c>
      <c r="D26" s="3">
        <v>247.83799999999999</v>
      </c>
      <c r="E26" s="3">
        <v>1.7030000000000001</v>
      </c>
      <c r="F26" s="3">
        <v>74.816000000000003</v>
      </c>
      <c r="G26" s="3" t="str">
        <f>IF(OR(C26&gt;=75,D26&gt;=1500,E26&lt;=1.1,F26&gt;=110),"TRIP",IF(OR(C26&gt;=45,D26&gt;=500,E26&lt;=1.4,F26&gt;=95),"ALARM","NORMAL"))</f>
        <v>NORMAL</v>
      </c>
      <c r="H26" s="2"/>
    </row>
    <row r="27" spans="1:8" ht="15">
      <c r="A27" s="3">
        <v>26</v>
      </c>
      <c r="B27" s="3" t="s">
        <v>150</v>
      </c>
      <c r="C27" s="3">
        <v>27.234000000000002</v>
      </c>
      <c r="D27" s="3">
        <v>241.78100000000001</v>
      </c>
      <c r="E27" s="3">
        <v>1.73</v>
      </c>
      <c r="F27" s="3">
        <v>77.771000000000001</v>
      </c>
      <c r="G27" s="3" t="str">
        <f>IF(OR(C27&gt;=75,D27&gt;=1500,E27&lt;=1.1,F27&gt;=110),"TRIP",IF(OR(C27&gt;=45,D27&gt;=500,E27&lt;=1.4,F27&gt;=95),"ALARM","NORMAL"))</f>
        <v>NORMAL</v>
      </c>
      <c r="H27" s="2"/>
    </row>
  </sheetData>
  <conditionalFormatting sqref="G2:G27">
    <cfRule type="cellIs" priority="2" dxfId="2" operator="equal">
      <formula>"TRIP"</formula>
    </cfRule>
    <cfRule type="cellIs" priority="3" dxfId="1" operator="equal">
      <formula>"ALARM"</formula>
    </cfRule>
    <cfRule type="cellIs" priority="4" dxfId="0" operator="equal">
      <formula>"NORMAL"</formula>
    </cfRule>
  </conditionalFormatting>
  <pageMargins left="0.75" right="0.75" top="1" bottom="1" header="0.511811023622047" footer="0.511811023622047"/>
  <pageSetup horizontalDpi="300" verticalDpi="300"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01A6CA0-B575-4EBB-8EAA-FE715984BAA9}">
  <dimension ref="A1:C16"/>
  <sheetViews>
    <sheetView workbookViewId="0" topLeftCell="A1"/>
  </sheetViews>
  <sheetFormatPr defaultColWidth="8.71428571428571" defaultRowHeight="15"/>
  <cols>
    <col min="1" max="1" width="28" customWidth="1"/>
    <col min="2" max="2" width="16" customWidth="1"/>
    <col min="3" max="3" width="34" customWidth="1"/>
  </cols>
  <sheetData>
    <row r="1" spans="1:3" ht="17.45">
      <c r="A1" s="9" t="s">
        <v>151</v>
      </c>
      <c r="B1" s="9"/>
      <c r="C1" s="9"/>
    </row>
    <row r="3" spans="1:3" ht="15">
      <c r="A3" s="4" t="s">
        <v>75</v>
      </c>
      <c r="B3" s="4" t="s">
        <v>76</v>
      </c>
      <c r="C3" s="4" t="s">
        <v>77</v>
      </c>
    </row>
    <row r="4" spans="1:3" ht="15">
      <c r="A4" s="1" t="s">
        <v>78</v>
      </c>
      <c r="B4" s="3">
        <v>26</v>
      </c>
      <c r="C4" s="5" t="s">
        <v>79</v>
      </c>
    </row>
    <row r="5" spans="1:3" ht="15">
      <c r="A5" s="1" t="s">
        <v>80</v>
      </c>
      <c r="B5" s="3">
        <v>32</v>
      </c>
      <c r="C5" s="5" t="s">
        <v>81</v>
      </c>
    </row>
    <row r="6" spans="1:3" ht="15">
      <c r="A6" s="1" t="s">
        <v>82</v>
      </c>
      <c r="B6" s="3">
        <v>4368</v>
      </c>
      <c r="C6" s="5">
        <f>26*7*24</f>
        <v>4368</v>
      </c>
    </row>
    <row r="7" spans="1:3" ht="15">
      <c r="A7" s="1" t="s">
        <v>83</v>
      </c>
      <c r="B7" s="6">
        <f>(1-32/4368)*100</f>
        <v>99.26739926739927</v>
      </c>
      <c r="C7" s="5" t="s">
        <v>84</v>
      </c>
    </row>
    <row r="8" spans="1:3" ht="15">
      <c r="A8" s="1" t="s">
        <v>85</v>
      </c>
      <c r="B8" s="3">
        <v>1</v>
      </c>
      <c r="C8" s="5" t="s">
        <v>86</v>
      </c>
    </row>
    <row r="9" spans="1:3" ht="15">
      <c r="A9" s="1" t="s">
        <v>87</v>
      </c>
      <c r="B9" s="3">
        <f>4368/1</f>
        <v>4368</v>
      </c>
      <c r="C9" s="5" t="s">
        <v>88</v>
      </c>
    </row>
    <row r="10" spans="1:3" ht="15">
      <c r="A10" s="1" t="s">
        <v>89</v>
      </c>
      <c r="B10" s="3">
        <v>32</v>
      </c>
      <c r="C10" s="5" t="s">
        <v>90</v>
      </c>
    </row>
    <row r="11" spans="1:3" ht="15">
      <c r="A11" s="1" t="s">
        <v>91</v>
      </c>
      <c r="B11" s="3">
        <f>COUNTIF('Condition History (2)'!G2:G27,"ALARM")</f>
        <v>11</v>
      </c>
      <c r="C11" s="5" t="s">
        <v>92</v>
      </c>
    </row>
    <row r="12" spans="1:3" ht="15">
      <c r="A12" s="1" t="s">
        <v>93</v>
      </c>
      <c r="B12" s="3">
        <f>COUNTIF('Condition History (2)'!G2:G27,"TRIP")</f>
        <v>1</v>
      </c>
      <c r="C12" s="5" t="s">
        <v>94</v>
      </c>
    </row>
    <row r="13" spans="1:3" ht="15">
      <c r="A13" s="1" t="s">
        <v>95</v>
      </c>
      <c r="B13" s="3">
        <f>COUNTIF('Condition History (2)'!G2:G27,"NORMAL")</f>
        <v>14</v>
      </c>
      <c r="C13" s="5" t="s">
        <v>96</v>
      </c>
    </row>
    <row r="14" spans="1:3" ht="15">
      <c r="A14" s="1" t="s">
        <v>97</v>
      </c>
      <c r="B14" s="6">
        <v>92</v>
      </c>
      <c r="C14" s="5" t="s">
        <v>98</v>
      </c>
    </row>
    <row r="15" spans="1:3" ht="15">
      <c r="A15" s="1" t="s">
        <v>99</v>
      </c>
      <c r="B15" s="3">
        <v>1760</v>
      </c>
      <c r="C15" s="5" t="s">
        <v>100</v>
      </c>
    </row>
    <row r="16" spans="1:3" ht="15">
      <c r="A16" s="1" t="s">
        <v>101</v>
      </c>
      <c r="B16" s="3">
        <v>1584</v>
      </c>
      <c r="C16" s="5" t="s">
        <v>102</v>
      </c>
    </row>
  </sheetData>
  <mergeCells count="1">
    <mergeCell ref="A1:C1"/>
  </mergeCells>
  <pageMargins left="0.75" right="0.75" top="1" bottom="1" header="0.511811023622047" footer="0.511811023622047"/>
  <pageSetup horizontalDpi="300" verticalDpi="300"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5CE6BEE-080E-405F-AF69-7A57B5C8BAA9}">
  <dimension ref="A1:D15"/>
  <sheetViews>
    <sheetView workbookViewId="0" topLeftCell="A1">
      <selection pane="topLeft" activeCell="B9" sqref="B9"/>
    </sheetView>
  </sheetViews>
  <sheetFormatPr defaultColWidth="8.71428571428571" defaultRowHeight="15"/>
  <cols>
    <col min="1" max="1" width="22" customWidth="1"/>
    <col min="2" max="2" width="30" customWidth="1"/>
    <col min="3" max="3" width="26" customWidth="1"/>
    <col min="4" max="4" width="16" customWidth="1"/>
  </cols>
  <sheetData>
    <row r="1" spans="1:4" ht="17.45" customHeight="1">
      <c r="A1" s="7" t="s">
        <v>0</v>
      </c>
      <c r="B1" s="7"/>
      <c r="C1" s="7"/>
      <c r="D1" s="7"/>
    </row>
    <row r="3" spans="1:4" ht="15" customHeight="1">
      <c r="A3" s="8" t="s">
        <v>1</v>
      </c>
      <c r="B3" s="8"/>
      <c r="C3" s="8" t="s">
        <v>2</v>
      </c>
      <c r="D3" s="8"/>
    </row>
    <row r="4" spans="1:4" ht="15">
      <c r="A4" s="1" t="s">
        <v>3</v>
      </c>
      <c r="B4" s="2" t="s">
        <v>152</v>
      </c>
      <c r="C4" s="1" t="s">
        <v>5</v>
      </c>
      <c r="D4" s="1" t="s">
        <v>6</v>
      </c>
    </row>
    <row r="5" spans="1:4" ht="23.85">
      <c r="A5" s="1" t="s">
        <v>7</v>
      </c>
      <c r="B5" s="2" t="s">
        <v>153</v>
      </c>
      <c r="C5" s="2" t="s">
        <v>154</v>
      </c>
      <c r="D5" s="3" t="s">
        <v>155</v>
      </c>
    </row>
    <row r="6" spans="1:4" ht="15">
      <c r="A6" s="1" t="s">
        <v>11</v>
      </c>
      <c r="B6" s="2" t="s">
        <v>156</v>
      </c>
      <c r="C6" s="2" t="s">
        <v>157</v>
      </c>
      <c r="D6" s="3" t="s">
        <v>158</v>
      </c>
    </row>
    <row r="7" spans="1:4" ht="15">
      <c r="A7" s="1" t="s">
        <v>15</v>
      </c>
      <c r="B7" s="2" t="s">
        <v>16</v>
      </c>
      <c r="C7" s="2" t="s">
        <v>159</v>
      </c>
      <c r="D7" s="3" t="s">
        <v>160</v>
      </c>
    </row>
    <row r="8" spans="1:4" ht="15">
      <c r="A8" s="1" t="s">
        <v>19</v>
      </c>
      <c r="B8" s="2" t="s">
        <v>161</v>
      </c>
      <c r="C8" s="2" t="s">
        <v>162</v>
      </c>
      <c r="D8" s="3" t="s">
        <v>163</v>
      </c>
    </row>
    <row r="9" spans="1:2" ht="15">
      <c r="A9" s="1" t="s">
        <v>23</v>
      </c>
      <c r="B9" s="2" t="s">
        <v>164</v>
      </c>
    </row>
    <row r="10" spans="1:2" ht="15">
      <c r="A10" s="1" t="s">
        <v>25</v>
      </c>
      <c r="B10" s="2" t="s">
        <v>26</v>
      </c>
    </row>
    <row r="11" spans="1:2" ht="23.85">
      <c r="A11" s="1" t="s">
        <v>27</v>
      </c>
      <c r="B11" s="2" t="s">
        <v>28</v>
      </c>
    </row>
    <row r="12" spans="1:2" ht="23.85">
      <c r="A12" s="1" t="s">
        <v>29</v>
      </c>
      <c r="B12" s="2" t="s">
        <v>30</v>
      </c>
    </row>
    <row r="13" spans="1:2" ht="15">
      <c r="A13" s="1" t="s">
        <v>31</v>
      </c>
      <c r="B13" s="2" t="s">
        <v>165</v>
      </c>
    </row>
    <row r="14" spans="1:2" ht="15">
      <c r="A14" s="1" t="s">
        <v>33</v>
      </c>
      <c r="B14" s="2" t="s">
        <v>166</v>
      </c>
    </row>
    <row r="15" spans="1:2" ht="15">
      <c r="A15" s="1" t="s">
        <v>35</v>
      </c>
      <c r="B15" s="2" t="s">
        <v>167</v>
      </c>
    </row>
  </sheetData>
  <mergeCells count="3">
    <mergeCell ref="A1:D1"/>
    <mergeCell ref="A3:B3"/>
    <mergeCell ref="C3:D3"/>
  </mergeCells>
  <pageMargins left="0.75" right="0.75" top="1" bottom="1" header="0.511811023622047" footer="0.511811023622047"/>
  <pageSetup horizontalDpi="300" verticalDpi="300"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71EB36A-CC92-42E7-AE82-159CF611BAA9}">
  <dimension ref="A1:H27"/>
  <sheetViews>
    <sheetView workbookViewId="0" topLeftCell="A1">
      <pane xSplit="2" ySplit="1" topLeftCell="C2" activePane="bottomRight" state="frozen"/>
      <selection pane="topLeft" activeCell="A1" sqref="A1"/>
      <selection pane="bottomLeft" activeCell="A2" sqref="A2"/>
      <selection pane="topRight" activeCell="C1" sqref="C1"/>
      <selection pane="bottomRight" activeCell="A1" sqref="A1"/>
    </sheetView>
  </sheetViews>
  <sheetFormatPr defaultColWidth="8.71428571428571" defaultRowHeight="15"/>
  <cols>
    <col min="1" max="1" width="6" customWidth="1"/>
    <col min="2" max="2" width="12" customWidth="1"/>
    <col min="3" max="7" width="13" customWidth="1"/>
    <col min="8" max="8" width="42" customWidth="1"/>
  </cols>
  <sheetData>
    <row r="1" spans="1:8" ht="33.75" customHeight="1">
      <c r="A1" s="4" t="s">
        <v>37</v>
      </c>
      <c r="B1" s="4" t="s">
        <v>38</v>
      </c>
      <c r="C1" s="4" t="s">
        <v>168</v>
      </c>
      <c r="D1" s="4" t="s">
        <v>169</v>
      </c>
      <c r="E1" s="4" t="s">
        <v>170</v>
      </c>
      <c r="F1" s="4" t="s">
        <v>171</v>
      </c>
      <c r="G1" s="4" t="s">
        <v>43</v>
      </c>
      <c r="H1" s="4" t="s">
        <v>44</v>
      </c>
    </row>
    <row r="2" spans="1:8" ht="15">
      <c r="A2" s="3">
        <v>1</v>
      </c>
      <c r="B2" s="3" t="s">
        <v>134</v>
      </c>
      <c r="C2" s="3">
        <v>63.616999999999997</v>
      </c>
      <c r="D2" s="3">
        <v>2.468</v>
      </c>
      <c r="E2" s="3">
        <v>133.72499999999999</v>
      </c>
      <c r="F2" s="3">
        <v>96.638999999999996</v>
      </c>
      <c r="G2" s="3" t="str">
        <f>IF(OR(C2&gt;=90,D2&gt;=8,E2&gt;=165,F2&gt;=140),"TRIP",IF(OR(C2&gt;=75,D2&gt;=5,E2&gt;=150,F2&gt;=120),"ALARM","NORMAL"))</f>
        <v>NORMAL</v>
      </c>
      <c r="H2" s="2"/>
    </row>
    <row r="3" spans="1:8" ht="15">
      <c r="A3" s="3">
        <v>2</v>
      </c>
      <c r="B3" s="3" t="s">
        <v>135</v>
      </c>
      <c r="C3" s="3">
        <v>64.040000000000006</v>
      </c>
      <c r="D3" s="3">
        <v>2.4430000000000001</v>
      </c>
      <c r="E3" s="3">
        <v>131.36600000000001</v>
      </c>
      <c r="F3" s="3">
        <v>94.457999999999998</v>
      </c>
      <c r="G3" s="3" t="str">
        <f>IF(OR(C3&gt;=90,D3&gt;=8,E3&gt;=165,F3&gt;=140),"TRIP",IF(OR(C3&gt;=75,D3&gt;=5,E3&gt;=150,F3&gt;=120),"ALARM","NORMAL"))</f>
        <v>NORMAL</v>
      </c>
      <c r="H3" s="2"/>
    </row>
    <row r="4" spans="1:8" ht="15">
      <c r="A4" s="3">
        <v>3</v>
      </c>
      <c r="B4" s="3" t="s">
        <v>136</v>
      </c>
      <c r="C4" s="3">
        <v>64.006</v>
      </c>
      <c r="D4" s="3">
        <v>2.6789999999999998</v>
      </c>
      <c r="E4" s="3">
        <v>132.215</v>
      </c>
      <c r="F4" s="3">
        <v>96.07</v>
      </c>
      <c r="G4" s="3" t="str">
        <f>IF(OR(C4&gt;=90,D4&gt;=8,E4&gt;=165,F4&gt;=140),"TRIP",IF(OR(C4&gt;=75,D4&gt;=5,E4&gt;=150,F4&gt;=120),"ALARM","NORMAL"))</f>
        <v>NORMAL</v>
      </c>
      <c r="H4" s="2"/>
    </row>
    <row r="5" spans="1:8" ht="15">
      <c r="A5" s="3">
        <v>4</v>
      </c>
      <c r="B5" s="3" t="s">
        <v>137</v>
      </c>
      <c r="C5" s="3">
        <v>64.94</v>
      </c>
      <c r="D5" s="3">
        <v>2.6179999999999999</v>
      </c>
      <c r="E5" s="3">
        <v>132.45400000000001</v>
      </c>
      <c r="F5" s="3">
        <v>96.361000000000004</v>
      </c>
      <c r="G5" s="3" t="str">
        <f>IF(OR(C5&gt;=90,D5&gt;=8,E5&gt;=165,F5&gt;=140),"TRIP",IF(OR(C5&gt;=75,D5&gt;=5,E5&gt;=150,F5&gt;=120),"ALARM","NORMAL"))</f>
        <v>NORMAL</v>
      </c>
      <c r="H5" s="2"/>
    </row>
    <row r="6" spans="1:8" ht="15">
      <c r="A6" s="3">
        <v>5</v>
      </c>
      <c r="B6" s="3" t="s">
        <v>138</v>
      </c>
      <c r="C6" s="3">
        <v>65.55</v>
      </c>
      <c r="D6" s="3">
        <v>2.782</v>
      </c>
      <c r="E6" s="3">
        <v>134.23099999999999</v>
      </c>
      <c r="F6" s="3">
        <v>95.593000000000004</v>
      </c>
      <c r="G6" s="3" t="str">
        <f>IF(OR(C6&gt;=90,D6&gt;=8,E6&gt;=165,F6&gt;=140),"TRIP",IF(OR(C6&gt;=75,D6&gt;=5,E6&gt;=150,F6&gt;=120),"ALARM","NORMAL"))</f>
        <v>NORMAL</v>
      </c>
      <c r="H6" s="2"/>
    </row>
    <row r="7" spans="1:8" ht="15">
      <c r="A7" s="3">
        <v>6</v>
      </c>
      <c r="B7" s="3" t="s">
        <v>139</v>
      </c>
      <c r="C7" s="3">
        <v>65.645</v>
      </c>
      <c r="D7" s="3">
        <v>3.0030000000000001</v>
      </c>
      <c r="E7" s="3">
        <v>133.577</v>
      </c>
      <c r="F7" s="3">
        <v>96.822999999999993</v>
      </c>
      <c r="G7" s="3" t="str">
        <f>IF(OR(C7&gt;=90,D7&gt;=8,E7&gt;=165,F7&gt;=140),"TRIP",IF(OR(C7&gt;=75,D7&gt;=5,E7&gt;=150,F7&gt;=120),"ALARM","NORMAL"))</f>
        <v>NORMAL</v>
      </c>
      <c r="H7" s="2"/>
    </row>
    <row r="8" spans="1:8" ht="15">
      <c r="A8" s="3">
        <v>7</v>
      </c>
      <c r="B8" s="3" t="s">
        <v>140</v>
      </c>
      <c r="C8" s="3">
        <v>66.475999999999999</v>
      </c>
      <c r="D8" s="3">
        <v>3.0619999999999998</v>
      </c>
      <c r="E8" s="3">
        <v>134.03299999999999</v>
      </c>
      <c r="F8" s="3">
        <v>98.95</v>
      </c>
      <c r="G8" s="3" t="str">
        <f>IF(OR(C8&gt;=90,D8&gt;=8,E8&gt;=165,F8&gt;=140),"TRIP",IF(OR(C8&gt;=75,D8&gt;=5,E8&gt;=150,F8&gt;=120),"ALARM","NORMAL"))</f>
        <v>NORMAL</v>
      </c>
      <c r="H8" s="2"/>
    </row>
    <row r="9" spans="1:8" ht="15">
      <c r="A9" s="3">
        <v>8</v>
      </c>
      <c r="B9" s="3" t="s">
        <v>141</v>
      </c>
      <c r="C9" s="3">
        <v>66.850999999999999</v>
      </c>
      <c r="D9" s="3">
        <v>3.2010000000000001</v>
      </c>
      <c r="E9" s="3">
        <v>134.38499999999999</v>
      </c>
      <c r="F9" s="3">
        <v>99.369</v>
      </c>
      <c r="G9" s="3" t="str">
        <f>IF(OR(C9&gt;=90,D9&gt;=8,E9&gt;=165,F9&gt;=140),"TRIP",IF(OR(C9&gt;=75,D9&gt;=5,E9&gt;=150,F9&gt;=120),"ALARM","NORMAL"))</f>
        <v>NORMAL</v>
      </c>
      <c r="H9" s="2"/>
    </row>
    <row r="10" spans="1:8" ht="15">
      <c r="A10" s="3">
        <v>9</v>
      </c>
      <c r="B10" s="3" t="s">
        <v>142</v>
      </c>
      <c r="C10" s="3">
        <v>68.558999999999997</v>
      </c>
      <c r="D10" s="3">
        <v>3.343</v>
      </c>
      <c r="E10" s="3">
        <v>136.25399999999999</v>
      </c>
      <c r="F10" s="3">
        <v>100.744</v>
      </c>
      <c r="G10" s="3" t="str">
        <f>IF(OR(C10&gt;=90,D10&gt;=8,E10&gt;=165,F10&gt;=140),"TRIP",IF(OR(C10&gt;=75,D10&gt;=5,E10&gt;=150,F10&gt;=120),"ALARM","NORMAL"))</f>
        <v>NORMAL</v>
      </c>
      <c r="H10" s="2"/>
    </row>
    <row r="11" spans="1:8" ht="15">
      <c r="A11" s="3">
        <v>10</v>
      </c>
      <c r="B11" s="3" t="s">
        <v>143</v>
      </c>
      <c r="C11" s="3">
        <v>69.632999999999996</v>
      </c>
      <c r="D11" s="3">
        <v>3.706</v>
      </c>
      <c r="E11" s="3">
        <v>138.69</v>
      </c>
      <c r="F11" s="3">
        <v>103.699</v>
      </c>
      <c r="G11" s="3" t="str">
        <f>IF(OR(C11&gt;=90,D11&gt;=8,E11&gt;=165,F11&gt;=140),"TRIP",IF(OR(C11&gt;=75,D11&gt;=5,E11&gt;=150,F11&gt;=120),"ALARM","NORMAL"))</f>
        <v>NORMAL</v>
      </c>
      <c r="H11" s="2"/>
    </row>
    <row r="12" spans="1:8" ht="15">
      <c r="A12" s="3">
        <v>11</v>
      </c>
      <c r="B12" s="3" t="s">
        <v>144</v>
      </c>
      <c r="C12" s="3">
        <v>70.412999999999997</v>
      </c>
      <c r="D12" s="3">
        <v>4.20</v>
      </c>
      <c r="E12" s="3">
        <v>139.70099999999999</v>
      </c>
      <c r="F12" s="3">
        <v>104.721</v>
      </c>
      <c r="G12" s="3" t="str">
        <f>IF(OR(C12&gt;=90,D12&gt;=8,E12&gt;=165,F12&gt;=140),"TRIP",IF(OR(C12&gt;=75,D12&gt;=5,E12&gt;=150,F12&gt;=120),"ALARM","NORMAL"))</f>
        <v>NORMAL</v>
      </c>
      <c r="H12" s="2"/>
    </row>
    <row r="13" spans="1:8" ht="15">
      <c r="A13" s="3">
        <v>12</v>
      </c>
      <c r="B13" s="3" t="s">
        <v>146</v>
      </c>
      <c r="C13" s="3">
        <v>71.385000000000005</v>
      </c>
      <c r="D13" s="3">
        <v>4.1319999999999997</v>
      </c>
      <c r="E13" s="3">
        <v>142.76300000000001</v>
      </c>
      <c r="F13" s="3">
        <v>108.321</v>
      </c>
      <c r="G13" s="3" t="str">
        <f>IF(OR(C13&gt;=90,D13&gt;=8,E13&gt;=165,F13&gt;=140),"TRIP",IF(OR(C13&gt;=75,D13&gt;=5,E13&gt;=150,F13&gt;=120),"ALARM","NORMAL"))</f>
        <v>NORMAL</v>
      </c>
      <c r="H13" s="2"/>
    </row>
    <row r="14" spans="1:8" ht="15">
      <c r="A14" s="3">
        <v>13</v>
      </c>
      <c r="B14" s="3" t="s">
        <v>147</v>
      </c>
      <c r="C14" s="3">
        <v>73.921000000000006</v>
      </c>
      <c r="D14" s="3">
        <v>4.3879999999999999</v>
      </c>
      <c r="E14" s="3">
        <v>142.827</v>
      </c>
      <c r="F14" s="3">
        <v>110.60599999999999</v>
      </c>
      <c r="G14" s="3" t="str">
        <f>IF(OR(C14&gt;=90,D14&gt;=8,E14&gt;=165,F14&gt;=140),"TRIP",IF(OR(C14&gt;=75,D14&gt;=5,E14&gt;=150,F14&gt;=120),"ALARM","NORMAL"))</f>
        <v>NORMAL</v>
      </c>
      <c r="H14" s="2"/>
    </row>
    <row r="15" spans="1:8" ht="15">
      <c r="A15" s="3">
        <v>14</v>
      </c>
      <c r="B15" s="3" t="s">
        <v>148</v>
      </c>
      <c r="C15" s="3">
        <v>74.537000000000006</v>
      </c>
      <c r="D15" s="3">
        <v>4.8380000000000001</v>
      </c>
      <c r="E15" s="3">
        <v>145.82400000000001</v>
      </c>
      <c r="F15" s="3">
        <v>114.327</v>
      </c>
      <c r="G15" s="3" t="str">
        <f>IF(OR(C15&gt;=90,D15&gt;=8,E15&gt;=165,F15&gt;=140),"TRIP",IF(OR(C15&gt;=75,D15&gt;=5,E15&gt;=150,F15&gt;=120),"ALARM","NORMAL"))</f>
        <v>NORMAL</v>
      </c>
      <c r="H15" s="2"/>
    </row>
    <row r="16" spans="1:8" ht="15">
      <c r="A16" s="3">
        <v>15</v>
      </c>
      <c r="B16" s="3" t="s">
        <v>149</v>
      </c>
      <c r="C16" s="3">
        <v>76.498000000000005</v>
      </c>
      <c r="D16" s="3">
        <v>5.375</v>
      </c>
      <c r="E16" s="3">
        <v>147.179</v>
      </c>
      <c r="F16" s="3">
        <v>117.834</v>
      </c>
      <c r="G16" s="3" t="str">
        <f>IF(OR(C16&gt;=90,D16&gt;=8,E16&gt;=165,F16&gt;=140),"TRIP",IF(OR(C16&gt;=75,D16&gt;=5,E16&gt;=150,F16&gt;=120),"ALARM","NORMAL"))</f>
        <v>ALARM</v>
      </c>
      <c r="H16" s="2"/>
    </row>
    <row r="17" spans="1:8" ht="15">
      <c r="A17" s="3">
        <v>16</v>
      </c>
      <c r="B17" s="3" t="s">
        <v>150</v>
      </c>
      <c r="C17" s="3">
        <v>78.257999999999996</v>
      </c>
      <c r="D17" s="3">
        <v>5.6059999999999999</v>
      </c>
      <c r="E17" s="3">
        <v>150.38900000000001</v>
      </c>
      <c r="F17" s="3">
        <v>118.57599999999999</v>
      </c>
      <c r="G17" s="3" t="str">
        <f>IF(OR(C17&gt;=90,D17&gt;=8,E17&gt;=165,F17&gt;=140),"TRIP",IF(OR(C17&gt;=75,D17&gt;=5,E17&gt;=150,F17&gt;=120),"ALARM","NORMAL"))</f>
        <v>ALARM</v>
      </c>
      <c r="H17" s="2"/>
    </row>
    <row r="18" spans="1:8" ht="15">
      <c r="A18" s="3">
        <v>17</v>
      </c>
      <c r="B18" s="3" t="s">
        <v>172</v>
      </c>
      <c r="C18" s="3">
        <v>80.813999999999993</v>
      </c>
      <c r="D18" s="3">
        <v>6.0430000000000001</v>
      </c>
      <c r="E18" s="3">
        <v>152.55500000000001</v>
      </c>
      <c r="F18" s="3">
        <v>123.30</v>
      </c>
      <c r="G18" s="3" t="str">
        <f>IF(OR(C18&gt;=90,D18&gt;=8,E18&gt;=165,F18&gt;=140),"TRIP",IF(OR(C18&gt;=75,D18&gt;=5,E18&gt;=150,F18&gt;=120),"ALARM","NORMAL"))</f>
        <v>ALARM</v>
      </c>
      <c r="H18" s="2"/>
    </row>
    <row r="19" spans="1:8" ht="15">
      <c r="A19" s="3">
        <v>18</v>
      </c>
      <c r="B19" s="3" t="s">
        <v>173</v>
      </c>
      <c r="C19" s="3">
        <v>82.787999999999997</v>
      </c>
      <c r="D19" s="3">
        <v>6.4930000000000003</v>
      </c>
      <c r="E19" s="3">
        <v>155.447</v>
      </c>
      <c r="F19" s="3">
        <v>128.02699999999999</v>
      </c>
      <c r="G19" s="3" t="str">
        <f>IF(OR(C19&gt;=90,D19&gt;=8,E19&gt;=165,F19&gt;=140),"TRIP",IF(OR(C19&gt;=75,D19&gt;=5,E19&gt;=150,F19&gt;=120),"ALARM","NORMAL"))</f>
        <v>ALARM</v>
      </c>
      <c r="H19" s="2" t="s">
        <v>63</v>
      </c>
    </row>
    <row r="20" spans="1:8" ht="15">
      <c r="A20" s="3">
        <v>19</v>
      </c>
      <c r="B20" s="3" t="s">
        <v>174</v>
      </c>
      <c r="C20" s="3">
        <v>84.415</v>
      </c>
      <c r="D20" s="3">
        <v>6.9909999999999997</v>
      </c>
      <c r="E20" s="3">
        <v>157.39599999999999</v>
      </c>
      <c r="F20" s="3">
        <v>133.654</v>
      </c>
      <c r="G20" s="3" t="str">
        <f>IF(OR(C20&gt;=90,D20&gt;=8,E20&gt;=165,F20&gt;=140),"TRIP",IF(OR(C20&gt;=75,D20&gt;=5,E20&gt;=150,F20&gt;=120),"ALARM","NORMAL"))</f>
        <v>ALARM</v>
      </c>
      <c r="H20" s="2" t="s">
        <v>63</v>
      </c>
    </row>
    <row r="21" spans="1:8" ht="15">
      <c r="A21" s="3">
        <v>20</v>
      </c>
      <c r="B21" s="3" t="s">
        <v>175</v>
      </c>
      <c r="C21" s="3">
        <v>87.236000000000004</v>
      </c>
      <c r="D21" s="3">
        <v>7.3719999999999999</v>
      </c>
      <c r="E21" s="3">
        <v>162.30699999999999</v>
      </c>
      <c r="F21" s="3">
        <v>135.48599999999999</v>
      </c>
      <c r="G21" s="3" t="str">
        <f>IF(OR(C21&gt;=90,D21&gt;=8,E21&gt;=165,F21&gt;=140),"TRIP",IF(OR(C21&gt;=75,D21&gt;=5,E21&gt;=150,F21&gt;=120),"ALARM","NORMAL"))</f>
        <v>ALARM</v>
      </c>
      <c r="H21" s="2" t="s">
        <v>63</v>
      </c>
    </row>
    <row r="22" spans="1:8" ht="23.85">
      <c r="A22" s="3">
        <v>21</v>
      </c>
      <c r="B22" s="3" t="s">
        <v>176</v>
      </c>
      <c r="C22" s="3">
        <v>91.80</v>
      </c>
      <c r="D22" s="3">
        <v>8.16</v>
      </c>
      <c r="E22" s="3">
        <v>168.30</v>
      </c>
      <c r="F22" s="3">
        <v>142.80000000000001</v>
      </c>
      <c r="G22" s="3" t="str">
        <f>IF(OR(C22&gt;=90,D22&gt;=8,E22&gt;=165,F22&gt;=140),"TRIP",IF(OR(C22&gt;=75,D22&gt;=5,E22&gt;=150,F22&gt;=120),"ALARM","NORMAL"))</f>
        <v>TRIP</v>
      </c>
      <c r="H22" s="2" t="s">
        <v>177</v>
      </c>
    </row>
    <row r="23" spans="1:8" ht="15">
      <c r="A23" s="3">
        <v>22</v>
      </c>
      <c r="B23" s="3" t="s">
        <v>178</v>
      </c>
      <c r="C23" s="3">
        <v>63.965</v>
      </c>
      <c r="D23" s="3">
        <v>2.545</v>
      </c>
      <c r="E23" s="3">
        <v>127.65900000000001</v>
      </c>
      <c r="F23" s="3">
        <v>91.57</v>
      </c>
      <c r="G23" s="3" t="str">
        <f>IF(OR(C23&gt;=90,D23&gt;=8,E23&gt;=165,F23&gt;=140),"TRIP",IF(OR(C23&gt;=75,D23&gt;=5,E23&gt;=150,F23&gt;=120),"ALARM","NORMAL"))</f>
        <v>NORMAL</v>
      </c>
      <c r="H23" s="2" t="s">
        <v>69</v>
      </c>
    </row>
    <row r="24" spans="1:8" ht="15">
      <c r="A24" s="3">
        <v>23</v>
      </c>
      <c r="B24" s="3" t="s">
        <v>179</v>
      </c>
      <c r="C24" s="3">
        <v>65.846000000000004</v>
      </c>
      <c r="D24" s="3">
        <v>2.681</v>
      </c>
      <c r="E24" s="3">
        <v>127.446</v>
      </c>
      <c r="F24" s="3">
        <v>97.367000000000004</v>
      </c>
      <c r="G24" s="3" t="str">
        <f>IF(OR(C24&gt;=90,D24&gt;=8,E24&gt;=165,F24&gt;=140),"TRIP",IF(OR(C24&gt;=75,D24&gt;=5,E24&gt;=150,F24&gt;=120),"ALARM","NORMAL"))</f>
        <v>NORMAL</v>
      </c>
      <c r="H24" s="2"/>
    </row>
    <row r="25" spans="1:8" ht="15">
      <c r="A25" s="3">
        <v>24</v>
      </c>
      <c r="B25" s="3" t="s">
        <v>180</v>
      </c>
      <c r="C25" s="3">
        <v>64.983999999999995</v>
      </c>
      <c r="D25" s="3">
        <v>2.4279999999999999</v>
      </c>
      <c r="E25" s="3">
        <v>127.592</v>
      </c>
      <c r="F25" s="3">
        <v>92.001000000000005</v>
      </c>
      <c r="G25" s="3" t="str">
        <f>IF(OR(C25&gt;=90,D25&gt;=8,E25&gt;=165,F25&gt;=140),"TRIP",IF(OR(C25&gt;=75,D25&gt;=5,E25&gt;=150,F25&gt;=120),"ALARM","NORMAL"))</f>
        <v>NORMAL</v>
      </c>
      <c r="H25" s="2"/>
    </row>
    <row r="26" spans="1:8" ht="15">
      <c r="A26" s="3">
        <v>25</v>
      </c>
      <c r="B26" s="3" t="s">
        <v>181</v>
      </c>
      <c r="C26" s="3">
        <v>65.037999999999997</v>
      </c>
      <c r="D26" s="3">
        <v>2.5289999999999999</v>
      </c>
      <c r="E26" s="3">
        <v>132.291</v>
      </c>
      <c r="F26" s="3">
        <v>93.757000000000005</v>
      </c>
      <c r="G26" s="3" t="str">
        <f>IF(OR(C26&gt;=90,D26&gt;=8,E26&gt;=165,F26&gt;=140),"TRIP",IF(OR(C26&gt;=75,D26&gt;=5,E26&gt;=150,F26&gt;=120),"ALARM","NORMAL"))</f>
        <v>NORMAL</v>
      </c>
      <c r="H26" s="2"/>
    </row>
    <row r="27" spans="1:8" ht="15">
      <c r="A27" s="3">
        <v>26</v>
      </c>
      <c r="B27" s="3" t="s">
        <v>182</v>
      </c>
      <c r="C27" s="3">
        <v>64.849000000000004</v>
      </c>
      <c r="D27" s="3">
        <v>2.528</v>
      </c>
      <c r="E27" s="3">
        <v>131.85400000000001</v>
      </c>
      <c r="F27" s="3">
        <v>94.427000000000007</v>
      </c>
      <c r="G27" s="3" t="str">
        <f>IF(OR(C27&gt;=90,D27&gt;=8,E27&gt;=165,F27&gt;=140),"TRIP",IF(OR(C27&gt;=75,D27&gt;=5,E27&gt;=150,F27&gt;=120),"ALARM","NORMAL"))</f>
        <v>NORMAL</v>
      </c>
      <c r="H27" s="2"/>
    </row>
  </sheetData>
  <conditionalFormatting sqref="G2:G27">
    <cfRule type="cellIs" priority="2" dxfId="2" operator="equal">
      <formula>"TRIP"</formula>
    </cfRule>
    <cfRule type="cellIs" priority="3" dxfId="1" operator="equal">
      <formula>"ALARM"</formula>
    </cfRule>
    <cfRule type="cellIs" priority="4" dxfId="0" operator="equal">
      <formula>"NORMAL"</formula>
    </cfRule>
  </conditionalFormatting>
  <pageMargins left="0.75" right="0.75" top="1" bottom="1" header="0.511811023622047" footer="0.511811023622047"/>
  <pageSetup horizontalDpi="300" verticalDpi="300"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2357214-AF7D-4933-BDD1-F8C58CA4BAA9}">
  <dimension ref="A1:C16"/>
  <sheetViews>
    <sheetView workbookViewId="0" topLeftCell="A1"/>
  </sheetViews>
  <sheetFormatPr defaultColWidth="8.71428571428571" defaultRowHeight="15"/>
  <cols>
    <col min="1" max="1" width="28" customWidth="1"/>
    <col min="2" max="2" width="16" customWidth="1"/>
    <col min="3" max="3" width="34" customWidth="1"/>
  </cols>
  <sheetData>
    <row r="1" spans="1:3" ht="17.45">
      <c r="A1" s="9" t="s">
        <v>183</v>
      </c>
      <c r="B1" s="9"/>
      <c r="C1" s="9"/>
    </row>
    <row r="3" spans="1:3" ht="15">
      <c r="A3" s="4" t="s">
        <v>75</v>
      </c>
      <c r="B3" s="4" t="s">
        <v>76</v>
      </c>
      <c r="C3" s="4" t="s">
        <v>77</v>
      </c>
    </row>
    <row r="4" spans="1:3" ht="15">
      <c r="A4" s="1" t="s">
        <v>78</v>
      </c>
      <c r="B4" s="3">
        <v>26</v>
      </c>
      <c r="C4" s="5" t="s">
        <v>79</v>
      </c>
    </row>
    <row r="5" spans="1:3" ht="15">
      <c r="A5" s="1" t="s">
        <v>80</v>
      </c>
      <c r="B5" s="3">
        <v>8</v>
      </c>
      <c r="C5" s="5" t="s">
        <v>81</v>
      </c>
    </row>
    <row r="6" spans="1:3" ht="15">
      <c r="A6" s="1" t="s">
        <v>82</v>
      </c>
      <c r="B6" s="3">
        <v>4368</v>
      </c>
      <c r="C6" s="5">
        <f>26*7*24</f>
        <v>4368</v>
      </c>
    </row>
    <row r="7" spans="1:3" ht="15">
      <c r="A7" s="1" t="s">
        <v>83</v>
      </c>
      <c r="B7" s="6">
        <f>(1-8/4368)*100</f>
        <v>99.81684981684981</v>
      </c>
      <c r="C7" s="5" t="s">
        <v>84</v>
      </c>
    </row>
    <row r="8" spans="1:3" ht="15">
      <c r="A8" s="1" t="s">
        <v>85</v>
      </c>
      <c r="B8" s="3">
        <v>1</v>
      </c>
      <c r="C8" s="5" t="s">
        <v>86</v>
      </c>
    </row>
    <row r="9" spans="1:3" ht="15">
      <c r="A9" s="1" t="s">
        <v>87</v>
      </c>
      <c r="B9" s="3">
        <f>4368/1</f>
        <v>4368</v>
      </c>
      <c r="C9" s="5" t="s">
        <v>88</v>
      </c>
    </row>
    <row r="10" spans="1:3" ht="15">
      <c r="A10" s="1" t="s">
        <v>89</v>
      </c>
      <c r="B10" s="3">
        <v>8</v>
      </c>
      <c r="C10" s="5" t="s">
        <v>90</v>
      </c>
    </row>
    <row r="11" spans="1:3" ht="15">
      <c r="A11" s="1" t="s">
        <v>91</v>
      </c>
      <c r="B11" s="3">
        <f>COUNTIF('Condition History (3)'!G2:G27,"ALARM")</f>
        <v>6</v>
      </c>
      <c r="C11" s="5" t="s">
        <v>92</v>
      </c>
    </row>
    <row r="12" spans="1:3" ht="15">
      <c r="A12" s="1" t="s">
        <v>93</v>
      </c>
      <c r="B12" s="3">
        <f>COUNTIF('Condition History (3)'!G2:G27,"TRIP")</f>
        <v>1</v>
      </c>
      <c r="C12" s="5" t="s">
        <v>94</v>
      </c>
    </row>
    <row r="13" spans="1:3" ht="15">
      <c r="A13" s="1" t="s">
        <v>95</v>
      </c>
      <c r="B13" s="3">
        <f>COUNTIF('Condition History (3)'!G2:G27,"NORMAL")</f>
        <v>19</v>
      </c>
      <c r="C13" s="5" t="s">
        <v>96</v>
      </c>
    </row>
    <row r="14" spans="1:3" ht="15">
      <c r="A14" s="1" t="s">
        <v>97</v>
      </c>
      <c r="B14" s="6">
        <v>92</v>
      </c>
      <c r="C14" s="5" t="s">
        <v>98</v>
      </c>
    </row>
    <row r="15" spans="1:3" ht="15">
      <c r="A15" s="1" t="s">
        <v>99</v>
      </c>
      <c r="B15" s="3">
        <v>160</v>
      </c>
      <c r="C15" s="5" t="s">
        <v>100</v>
      </c>
    </row>
    <row r="16" spans="1:3" ht="15">
      <c r="A16" s="1" t="s">
        <v>101</v>
      </c>
      <c r="B16" s="3">
        <v>112</v>
      </c>
      <c r="C16" s="5" t="s">
        <v>102</v>
      </c>
    </row>
  </sheetData>
  <mergeCells count="1">
    <mergeCell ref="A1:C1"/>
  </mergeCells>
  <pageMargins left="0.75" right="0.75" top="1" bottom="1" header="0.511811023622047" footer="0.511811023622047"/>
  <pageSetup horizontalDpi="300" verticalDpi="300"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AC13B63-6F42-4731-8756-AAF7E314BAA9}">
  <dimension ref="A1:D15"/>
  <sheetViews>
    <sheetView workbookViewId="0" topLeftCell="A1">
      <selection pane="topLeft" activeCell="B9" sqref="B9"/>
    </sheetView>
  </sheetViews>
  <sheetFormatPr defaultColWidth="8.71428571428571" defaultRowHeight="15"/>
  <cols>
    <col min="1" max="1" width="22" customWidth="1"/>
    <col min="2" max="2" width="30" customWidth="1"/>
    <col min="3" max="3" width="26" customWidth="1"/>
    <col min="4" max="4" width="16" customWidth="1"/>
  </cols>
  <sheetData>
    <row r="1" spans="1:4" ht="17.45" customHeight="1">
      <c r="A1" s="7" t="s">
        <v>0</v>
      </c>
      <c r="B1" s="7"/>
      <c r="C1" s="7"/>
      <c r="D1" s="7"/>
    </row>
    <row r="3" spans="1:4" ht="15" customHeight="1">
      <c r="A3" s="8" t="s">
        <v>1</v>
      </c>
      <c r="B3" s="8"/>
      <c r="C3" s="8" t="s">
        <v>2</v>
      </c>
      <c r="D3" s="8"/>
    </row>
    <row r="4" spans="1:4" ht="15">
      <c r="A4" s="1" t="s">
        <v>3</v>
      </c>
      <c r="B4" s="2" t="s">
        <v>184</v>
      </c>
      <c r="C4" s="1" t="s">
        <v>5</v>
      </c>
      <c r="D4" s="1" t="s">
        <v>6</v>
      </c>
    </row>
    <row r="5" spans="1:4" ht="23.85">
      <c r="A5" s="1" t="s">
        <v>7</v>
      </c>
      <c r="B5" s="2" t="s">
        <v>185</v>
      </c>
      <c r="C5" s="2" t="s">
        <v>186</v>
      </c>
      <c r="D5" s="3" t="s">
        <v>187</v>
      </c>
    </row>
    <row r="6" spans="1:4" ht="15">
      <c r="A6" s="1" t="s">
        <v>11</v>
      </c>
      <c r="B6" s="2" t="s">
        <v>188</v>
      </c>
      <c r="C6" s="2" t="s">
        <v>189</v>
      </c>
      <c r="D6" s="3" t="s">
        <v>190</v>
      </c>
    </row>
    <row r="7" spans="1:4" ht="15">
      <c r="A7" s="1" t="s">
        <v>15</v>
      </c>
      <c r="B7" s="2" t="s">
        <v>16</v>
      </c>
      <c r="C7" s="2" t="s">
        <v>191</v>
      </c>
      <c r="D7" s="3" t="s">
        <v>192</v>
      </c>
    </row>
    <row r="8" spans="1:4" ht="15">
      <c r="A8" s="1" t="s">
        <v>19</v>
      </c>
      <c r="B8" s="2" t="s">
        <v>113</v>
      </c>
      <c r="C8" s="2" t="s">
        <v>193</v>
      </c>
      <c r="D8" s="3" t="s">
        <v>194</v>
      </c>
    </row>
    <row r="9" spans="1:2" ht="15">
      <c r="A9" s="1" t="s">
        <v>23</v>
      </c>
      <c r="B9" s="2" t="s">
        <v>195</v>
      </c>
    </row>
    <row r="10" spans="1:2" ht="15">
      <c r="A10" s="1" t="s">
        <v>25</v>
      </c>
      <c r="B10" s="2" t="s">
        <v>26</v>
      </c>
    </row>
    <row r="11" spans="1:2" ht="23.85">
      <c r="A11" s="1" t="s">
        <v>27</v>
      </c>
      <c r="B11" s="2" t="s">
        <v>28</v>
      </c>
    </row>
    <row r="12" spans="1:2" ht="23.85">
      <c r="A12" s="1" t="s">
        <v>29</v>
      </c>
      <c r="B12" s="2" t="s">
        <v>30</v>
      </c>
    </row>
    <row r="13" spans="1:2" ht="15">
      <c r="A13" s="1" t="s">
        <v>31</v>
      </c>
      <c r="B13" s="2" t="s">
        <v>196</v>
      </c>
    </row>
    <row r="14" spans="1:2" ht="15">
      <c r="A14" s="1" t="s">
        <v>33</v>
      </c>
      <c r="B14" s="2" t="s">
        <v>197</v>
      </c>
    </row>
    <row r="15" spans="1:2" ht="23.85">
      <c r="A15" s="1" t="s">
        <v>35</v>
      </c>
      <c r="B15" s="2" t="s">
        <v>198</v>
      </c>
    </row>
  </sheetData>
  <mergeCells count="3">
    <mergeCell ref="A1:D1"/>
    <mergeCell ref="A3:B3"/>
    <mergeCell ref="C3:D3"/>
  </mergeCells>
  <pageMargins left="0.75" right="0.75" top="1" bottom="1" header="0.511811023622047" footer="0.511811023622047"/>
  <pageSetup horizontalDpi="300" verticalDpi="300"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CDF1A25-5227-4B18-941B-CF8DBF03BAA9}">
  <dimension ref="A1:H27"/>
  <sheetViews>
    <sheetView workbookViewId="0" topLeftCell="A1">
      <pane xSplit="2" ySplit="1" topLeftCell="C2" activePane="bottomRight" state="frozen"/>
      <selection pane="topLeft" activeCell="A1" sqref="A1"/>
      <selection pane="bottomLeft" activeCell="A2" sqref="A2"/>
      <selection pane="topRight" activeCell="C1" sqref="C1"/>
      <selection pane="bottomRight" activeCell="A1" sqref="A1"/>
    </sheetView>
  </sheetViews>
  <sheetFormatPr defaultColWidth="8.71428571428571" defaultRowHeight="15"/>
  <cols>
    <col min="1" max="1" width="6" customWidth="1"/>
    <col min="2" max="2" width="12" customWidth="1"/>
    <col min="3" max="7" width="13" customWidth="1"/>
    <col min="8" max="8" width="42" customWidth="1"/>
  </cols>
  <sheetData>
    <row r="1" spans="1:8" ht="33.75" customHeight="1">
      <c r="A1" s="4" t="s">
        <v>37</v>
      </c>
      <c r="B1" s="4" t="s">
        <v>38</v>
      </c>
      <c r="C1" s="4" t="s">
        <v>199</v>
      </c>
      <c r="D1" s="4" t="s">
        <v>200</v>
      </c>
      <c r="E1" s="4" t="s">
        <v>201</v>
      </c>
      <c r="F1" s="4" t="s">
        <v>202</v>
      </c>
      <c r="G1" s="4" t="s">
        <v>43</v>
      </c>
      <c r="H1" s="4" t="s">
        <v>44</v>
      </c>
    </row>
    <row r="2" spans="1:8" ht="15">
      <c r="A2" s="3">
        <v>1</v>
      </c>
      <c r="B2" s="3" t="s">
        <v>55</v>
      </c>
      <c r="C2" s="3">
        <v>0.355</v>
      </c>
      <c r="D2" s="3">
        <v>100.285</v>
      </c>
      <c r="E2" s="3">
        <v>120.151</v>
      </c>
      <c r="F2" s="3">
        <v>1.169</v>
      </c>
      <c r="G2" s="3" t="str">
        <f>IF(OR(C2&gt;=0.9,D2&lt;=70,E2&lt;=95,F2&gt;=2.4),"TRIP",IF(OR(C2&gt;=0.6,D2&lt;=90,E2&lt;=110,F2&gt;=1.5),"ALARM","NORMAL"))</f>
        <v>NORMAL</v>
      </c>
      <c r="H2" s="2"/>
    </row>
    <row r="3" spans="1:8" ht="15">
      <c r="A3" s="3">
        <v>2</v>
      </c>
      <c r="B3" s="3" t="s">
        <v>56</v>
      </c>
      <c r="C3" s="3">
        <v>0.355</v>
      </c>
      <c r="D3" s="3">
        <v>99.865</v>
      </c>
      <c r="E3" s="3">
        <v>119.916</v>
      </c>
      <c r="F3" s="3">
        <v>1.2190000000000001</v>
      </c>
      <c r="G3" s="3" t="str">
        <f>IF(OR(C3&gt;=0.9,D3&lt;=70,E3&lt;=95,F3&gt;=2.4),"TRIP",IF(OR(C3&gt;=0.6,D3&lt;=90,E3&lt;=110,F3&gt;=1.5),"ALARM","NORMAL"))</f>
        <v>NORMAL</v>
      </c>
      <c r="H3" s="2"/>
    </row>
    <row r="4" spans="1:8" ht="15">
      <c r="A4" s="3">
        <v>3</v>
      </c>
      <c r="B4" s="3" t="s">
        <v>57</v>
      </c>
      <c r="C4" s="3">
        <v>0.34699999999999998</v>
      </c>
      <c r="D4" s="3">
        <v>100.65900000000001</v>
      </c>
      <c r="E4" s="3">
        <v>119.75700000000001</v>
      </c>
      <c r="F4" s="3">
        <v>1.2090000000000001</v>
      </c>
      <c r="G4" s="3" t="str">
        <f>IF(OR(C4&gt;=0.9,D4&lt;=70,E4&lt;=95,F4&gt;=2.4),"TRIP",IF(OR(C4&gt;=0.6,D4&lt;=90,E4&lt;=110,F4&gt;=1.5),"ALARM","NORMAL"))</f>
        <v>NORMAL</v>
      </c>
      <c r="H4" s="2"/>
    </row>
    <row r="5" spans="1:8" ht="15">
      <c r="A5" s="3">
        <v>4</v>
      </c>
      <c r="B5" s="3" t="s">
        <v>58</v>
      </c>
      <c r="C5" s="3">
        <v>0.33700000000000002</v>
      </c>
      <c r="D5" s="3">
        <v>98.944000000000003</v>
      </c>
      <c r="E5" s="3">
        <v>118.962</v>
      </c>
      <c r="F5" s="3">
        <v>1.2370000000000001</v>
      </c>
      <c r="G5" s="3" t="str">
        <f>IF(OR(C5&gt;=0.9,D5&lt;=70,E5&lt;=95,F5&gt;=2.4),"TRIP",IF(OR(C5&gt;=0.6,D5&lt;=90,E5&lt;=110,F5&gt;=1.5),"ALARM","NORMAL"))</f>
        <v>NORMAL</v>
      </c>
      <c r="H5" s="2"/>
    </row>
    <row r="6" spans="1:8" ht="15">
      <c r="A6" s="3">
        <v>5</v>
      </c>
      <c r="B6" s="3" t="s">
        <v>59</v>
      </c>
      <c r="C6" s="3">
        <v>0.37</v>
      </c>
      <c r="D6" s="3">
        <v>98.631</v>
      </c>
      <c r="E6" s="3">
        <v>119.005</v>
      </c>
      <c r="F6" s="3">
        <v>1.2629999999999999</v>
      </c>
      <c r="G6" s="3" t="str">
        <f>IF(OR(C6&gt;=0.9,D6&lt;=70,E6&lt;=95,F6&gt;=2.4),"TRIP",IF(OR(C6&gt;=0.6,D6&lt;=90,E6&lt;=110,F6&gt;=1.5),"ALARM","NORMAL"))</f>
        <v>NORMAL</v>
      </c>
      <c r="H6" s="2"/>
    </row>
    <row r="7" spans="1:8" ht="15">
      <c r="A7" s="3">
        <v>6</v>
      </c>
      <c r="B7" s="3" t="s">
        <v>60</v>
      </c>
      <c r="C7" s="3">
        <v>0.377</v>
      </c>
      <c r="D7" s="3">
        <v>97.271000000000001</v>
      </c>
      <c r="E7" s="3">
        <v>118.131</v>
      </c>
      <c r="F7" s="3">
        <v>1.3009999999999999</v>
      </c>
      <c r="G7" s="3" t="str">
        <f>IF(OR(C7&gt;=0.9,D7&lt;=70,E7&lt;=95,F7&gt;=2.4),"TRIP",IF(OR(C7&gt;=0.6,D7&lt;=90,E7&lt;=110,F7&gt;=1.5),"ALARM","NORMAL"))</f>
        <v>NORMAL</v>
      </c>
      <c r="H7" s="2"/>
    </row>
    <row r="8" spans="1:8" ht="15">
      <c r="A8" s="3">
        <v>7</v>
      </c>
      <c r="B8" s="3" t="s">
        <v>61</v>
      </c>
      <c r="C8" s="3">
        <v>0.39900000000000002</v>
      </c>
      <c r="D8" s="3">
        <v>96.483999999999995</v>
      </c>
      <c r="E8" s="3">
        <v>118.23399999999999</v>
      </c>
      <c r="F8" s="3">
        <v>1.254</v>
      </c>
      <c r="G8" s="3" t="str">
        <f>IF(OR(C8&gt;=0.9,D8&lt;=70,E8&lt;=95,F8&gt;=2.4),"TRIP",IF(OR(C8&gt;=0.6,D8&lt;=90,E8&lt;=110,F8&gt;=1.5),"ALARM","NORMAL"))</f>
        <v>NORMAL</v>
      </c>
      <c r="H8" s="2"/>
    </row>
    <row r="9" spans="1:8" ht="15">
      <c r="A9" s="3">
        <v>8</v>
      </c>
      <c r="B9" s="3" t="s">
        <v>62</v>
      </c>
      <c r="C9" s="3">
        <v>0.42099999999999999</v>
      </c>
      <c r="D9" s="3">
        <v>96.59</v>
      </c>
      <c r="E9" s="3">
        <v>116.94499999999999</v>
      </c>
      <c r="F9" s="3">
        <v>1.321</v>
      </c>
      <c r="G9" s="3" t="str">
        <f>IF(OR(C9&gt;=0.9,D9&lt;=70,E9&lt;=95,F9&gt;=2.4),"TRIP",IF(OR(C9&gt;=0.6,D9&lt;=90,E9&lt;=110,F9&gt;=1.5),"ALARM","NORMAL"))</f>
        <v>NORMAL</v>
      </c>
      <c r="H9" s="2"/>
    </row>
    <row r="10" spans="1:8" ht="15">
      <c r="A10" s="3">
        <v>9</v>
      </c>
      <c r="B10" s="3" t="s">
        <v>64</v>
      </c>
      <c r="C10" s="3">
        <v>0.45800000000000002</v>
      </c>
      <c r="D10" s="3">
        <v>95.815</v>
      </c>
      <c r="E10" s="3">
        <v>116.352</v>
      </c>
      <c r="F10" s="3">
        <v>1.337</v>
      </c>
      <c r="G10" s="3" t="str">
        <f>IF(OR(C10&gt;=0.9,D10&lt;=70,E10&lt;=95,F10&gt;=2.4),"TRIP",IF(OR(C10&gt;=0.6,D10&lt;=90,E10&lt;=110,F10&gt;=1.5),"ALARM","NORMAL"))</f>
        <v>NORMAL</v>
      </c>
      <c r="H10" s="2"/>
    </row>
    <row r="11" spans="1:8" ht="15">
      <c r="A11" s="3">
        <v>10</v>
      </c>
      <c r="B11" s="3" t="s">
        <v>65</v>
      </c>
      <c r="C11" s="3">
        <v>0.455</v>
      </c>
      <c r="D11" s="3">
        <v>94.48</v>
      </c>
      <c r="E11" s="3">
        <v>115.188</v>
      </c>
      <c r="F11" s="3">
        <v>1.476</v>
      </c>
      <c r="G11" s="3" t="str">
        <f>IF(OR(C11&gt;=0.9,D11&lt;=70,E11&lt;=95,F11&gt;=2.4),"TRIP",IF(OR(C11&gt;=0.6,D11&lt;=90,E11&lt;=110,F11&gt;=1.5),"ALARM","NORMAL"))</f>
        <v>NORMAL</v>
      </c>
      <c r="H11" s="2"/>
    </row>
    <row r="12" spans="1:8" ht="15">
      <c r="A12" s="3">
        <v>11</v>
      </c>
      <c r="B12" s="3" t="s">
        <v>66</v>
      </c>
      <c r="C12" s="3">
        <v>0.496</v>
      </c>
      <c r="D12" s="3">
        <v>93.081999999999994</v>
      </c>
      <c r="E12" s="3">
        <v>113.71</v>
      </c>
      <c r="F12" s="3">
        <v>1.50</v>
      </c>
      <c r="G12" s="3" t="str">
        <f>IF(OR(C12&gt;=0.9,D12&lt;=70,E12&lt;=95,F12&gt;=2.4),"TRIP",IF(OR(C12&gt;=0.6,D12&lt;=90,E12&lt;=110,F12&gt;=1.5),"ALARM","NORMAL"))</f>
        <v>ALARM</v>
      </c>
      <c r="H12" s="2"/>
    </row>
    <row r="13" spans="1:8" ht="15">
      <c r="A13" s="3">
        <v>12</v>
      </c>
      <c r="B13" s="3" t="s">
        <v>68</v>
      </c>
      <c r="C13" s="3">
        <v>0.51700000000000002</v>
      </c>
      <c r="D13" s="3">
        <v>90.36</v>
      </c>
      <c r="E13" s="3">
        <v>112.245</v>
      </c>
      <c r="F13" s="3">
        <v>1.552</v>
      </c>
      <c r="G13" s="3" t="str">
        <f>IF(OR(C13&gt;=0.9,D13&lt;=70,E13&lt;=95,F13&gt;=2.4),"TRIP",IF(OR(C13&gt;=0.6,D13&lt;=90,E13&lt;=110,F13&gt;=1.5),"ALARM","NORMAL"))</f>
        <v>ALARM</v>
      </c>
      <c r="H13" s="2"/>
    </row>
    <row r="14" spans="1:8" ht="15">
      <c r="A14" s="3">
        <v>13</v>
      </c>
      <c r="B14" s="3" t="s">
        <v>70</v>
      </c>
      <c r="C14" s="3">
        <v>0.54</v>
      </c>
      <c r="D14" s="3">
        <v>90.323999999999998</v>
      </c>
      <c r="E14" s="3">
        <v>110.721</v>
      </c>
      <c r="F14" s="3">
        <v>1.631</v>
      </c>
      <c r="G14" s="3" t="str">
        <f>IF(OR(C14&gt;=0.9,D14&lt;=70,E14&lt;=95,F14&gt;=2.4),"TRIP",IF(OR(C14&gt;=0.6,D14&lt;=90,E14&lt;=110,F14&gt;=1.5),"ALARM","NORMAL"))</f>
        <v>ALARM</v>
      </c>
      <c r="H14" s="2"/>
    </row>
    <row r="15" spans="1:8" ht="15">
      <c r="A15" s="3">
        <v>14</v>
      </c>
      <c r="B15" s="3" t="s">
        <v>71</v>
      </c>
      <c r="C15" s="3">
        <v>0.56999999999999995</v>
      </c>
      <c r="D15" s="3">
        <v>87.662000000000006</v>
      </c>
      <c r="E15" s="3">
        <v>109.747</v>
      </c>
      <c r="F15" s="3">
        <v>1.725</v>
      </c>
      <c r="G15" s="3" t="str">
        <f>IF(OR(C15&gt;=0.9,D15&lt;=70,E15&lt;=95,F15&gt;=2.4),"TRIP",IF(OR(C15&gt;=0.6,D15&lt;=90,E15&lt;=110,F15&gt;=1.5),"ALARM","NORMAL"))</f>
        <v>ALARM</v>
      </c>
      <c r="H15" s="2"/>
    </row>
    <row r="16" spans="1:8" ht="15">
      <c r="A16" s="3">
        <v>15</v>
      </c>
      <c r="B16" s="3" t="s">
        <v>72</v>
      </c>
      <c r="C16" s="3">
        <v>0.60199999999999998</v>
      </c>
      <c r="D16" s="3">
        <v>85.105</v>
      </c>
      <c r="E16" s="3">
        <v>108.077</v>
      </c>
      <c r="F16" s="3">
        <v>1.7909999999999999</v>
      </c>
      <c r="G16" s="3" t="str">
        <f>IF(OR(C16&gt;=0.9,D16&lt;=70,E16&lt;=95,F16&gt;=2.4),"TRIP",IF(OR(C16&gt;=0.6,D16&lt;=90,E16&lt;=110,F16&gt;=1.5),"ALARM","NORMAL"))</f>
        <v>ALARM</v>
      </c>
      <c r="H16" s="2"/>
    </row>
    <row r="17" spans="1:8" ht="15">
      <c r="A17" s="3">
        <v>16</v>
      </c>
      <c r="B17" s="3" t="s">
        <v>73</v>
      </c>
      <c r="C17" s="3">
        <v>0.635</v>
      </c>
      <c r="D17" s="3">
        <v>83.143000000000001</v>
      </c>
      <c r="E17" s="3">
        <v>105.479</v>
      </c>
      <c r="F17" s="3">
        <v>1.837</v>
      </c>
      <c r="G17" s="3" t="str">
        <f>IF(OR(C17&gt;=0.9,D17&lt;=70,E17&lt;=95,F17&gt;=2.4),"TRIP",IF(OR(C17&gt;=0.6,D17&lt;=90,E17&lt;=110,F17&gt;=1.5),"ALARM","NORMAL"))</f>
        <v>ALARM</v>
      </c>
      <c r="H17" s="2"/>
    </row>
    <row r="18" spans="1:8" ht="15">
      <c r="A18" s="3">
        <v>17</v>
      </c>
      <c r="B18" s="3" t="s">
        <v>203</v>
      </c>
      <c r="C18" s="3">
        <v>0.705</v>
      </c>
      <c r="D18" s="3">
        <v>80.30</v>
      </c>
      <c r="E18" s="3">
        <v>103.84099999999999</v>
      </c>
      <c r="F18" s="3">
        <v>1.9790000000000001</v>
      </c>
      <c r="G18" s="3" t="str">
        <f>IF(OR(C18&gt;=0.9,D18&lt;=70,E18&lt;=95,F18&gt;=2.4),"TRIP",IF(OR(C18&gt;=0.6,D18&lt;=90,E18&lt;=110,F18&gt;=1.5),"ALARM","NORMAL"))</f>
        <v>ALARM</v>
      </c>
      <c r="H18" s="2"/>
    </row>
    <row r="19" spans="1:8" ht="15">
      <c r="A19" s="3">
        <v>18</v>
      </c>
      <c r="B19" s="3" t="s">
        <v>204</v>
      </c>
      <c r="C19" s="3">
        <v>0.751</v>
      </c>
      <c r="D19" s="3">
        <v>77.895</v>
      </c>
      <c r="E19" s="3">
        <v>102.087</v>
      </c>
      <c r="F19" s="3">
        <v>2.0939999999999999</v>
      </c>
      <c r="G19" s="3" t="str">
        <f>IF(OR(C19&gt;=0.9,D19&lt;=70,E19&lt;=95,F19&gt;=2.4),"TRIP",IF(OR(C19&gt;=0.6,D19&lt;=90,E19&lt;=110,F19&gt;=1.5),"ALARM","NORMAL"))</f>
        <v>ALARM</v>
      </c>
      <c r="H19" s="2" t="s">
        <v>63</v>
      </c>
    </row>
    <row r="20" spans="1:8" ht="15">
      <c r="A20" s="3">
        <v>19</v>
      </c>
      <c r="B20" s="3" t="s">
        <v>205</v>
      </c>
      <c r="C20" s="3">
        <v>0.785</v>
      </c>
      <c r="D20" s="3">
        <v>75.867999999999995</v>
      </c>
      <c r="E20" s="3">
        <v>99.789000000000001</v>
      </c>
      <c r="F20" s="3">
        <v>2.161</v>
      </c>
      <c r="G20" s="3" t="str">
        <f>IF(OR(C20&gt;=0.9,D20&lt;=70,E20&lt;=95,F20&gt;=2.4),"TRIP",IF(OR(C20&gt;=0.6,D20&lt;=90,E20&lt;=110,F20&gt;=1.5),"ALARM","NORMAL"))</f>
        <v>ALARM</v>
      </c>
      <c r="H20" s="2" t="s">
        <v>63</v>
      </c>
    </row>
    <row r="21" spans="1:8" ht="15">
      <c r="A21" s="3">
        <v>20</v>
      </c>
      <c r="B21" s="3" t="s">
        <v>206</v>
      </c>
      <c r="C21" s="3">
        <v>0.85399999999999998</v>
      </c>
      <c r="D21" s="3">
        <v>72.706000000000003</v>
      </c>
      <c r="E21" s="3">
        <v>97.921999999999997</v>
      </c>
      <c r="F21" s="3">
        <v>2.2879999999999998</v>
      </c>
      <c r="G21" s="3" t="str">
        <f>IF(OR(C21&gt;=0.9,D21&lt;=70,E21&lt;=95,F21&gt;=2.4),"TRIP",IF(OR(C21&gt;=0.6,D21&lt;=90,E21&lt;=110,F21&gt;=1.5),"ALARM","NORMAL"))</f>
        <v>ALARM</v>
      </c>
      <c r="H21" s="2" t="s">
        <v>63</v>
      </c>
    </row>
    <row r="22" spans="1:8" ht="23.85">
      <c r="A22" s="3">
        <v>21</v>
      </c>
      <c r="B22" s="3" t="s">
        <v>207</v>
      </c>
      <c r="C22" s="3">
        <v>0.91800000000000004</v>
      </c>
      <c r="D22" s="3">
        <v>68.599999999999994</v>
      </c>
      <c r="E22" s="3">
        <v>93.10</v>
      </c>
      <c r="F22" s="3">
        <v>2.448</v>
      </c>
      <c r="G22" s="3" t="str">
        <f>IF(OR(C22&gt;=0.9,D22&lt;=70,E22&lt;=95,F22&gt;=2.4),"TRIP",IF(OR(C22&gt;=0.6,D22&lt;=90,E22&lt;=110,F22&gt;=1.5),"ALARM","NORMAL"))</f>
        <v>TRIP</v>
      </c>
      <c r="H22" s="2" t="s">
        <v>208</v>
      </c>
    </row>
    <row r="23" spans="1:8" ht="15">
      <c r="A23" s="3">
        <v>22</v>
      </c>
      <c r="B23" s="3" t="s">
        <v>209</v>
      </c>
      <c r="C23" s="3">
        <v>0.33700000000000002</v>
      </c>
      <c r="D23" s="3">
        <v>98.430999999999997</v>
      </c>
      <c r="E23" s="3">
        <v>120.861</v>
      </c>
      <c r="F23" s="3">
        <v>1.246</v>
      </c>
      <c r="G23" s="3" t="str">
        <f>IF(OR(C23&gt;=0.9,D23&lt;=70,E23&lt;=95,F23&gt;=2.4),"TRIP",IF(OR(C23&gt;=0.6,D23&lt;=90,E23&lt;=110,F23&gt;=1.5),"ALARM","NORMAL"))</f>
        <v>NORMAL</v>
      </c>
      <c r="H23" s="2" t="s">
        <v>69</v>
      </c>
    </row>
    <row r="24" spans="1:8" ht="15">
      <c r="A24" s="3">
        <v>23</v>
      </c>
      <c r="B24" s="3" t="s">
        <v>210</v>
      </c>
      <c r="C24" s="3">
        <v>0.316</v>
      </c>
      <c r="D24" s="3">
        <v>94.81</v>
      </c>
      <c r="E24" s="3">
        <v>116.07299999999999</v>
      </c>
      <c r="F24" s="3">
        <v>1.1240000000000001</v>
      </c>
      <c r="G24" s="3" t="str">
        <f>IF(OR(C24&gt;=0.9,D24&lt;=70,E24&lt;=95,F24&gt;=2.4),"TRIP",IF(OR(C24&gt;=0.6,D24&lt;=90,E24&lt;=110,F24&gt;=1.5),"ALARM","NORMAL"))</f>
        <v>NORMAL</v>
      </c>
      <c r="H24" s="2"/>
    </row>
    <row r="25" spans="1:8" ht="15">
      <c r="A25" s="3">
        <v>24</v>
      </c>
      <c r="B25" s="3" t="s">
        <v>211</v>
      </c>
      <c r="C25" s="3">
        <v>0.31900000000000001</v>
      </c>
      <c r="D25" s="3">
        <v>100.654</v>
      </c>
      <c r="E25" s="3">
        <v>118.93600000000001</v>
      </c>
      <c r="F25" s="3">
        <v>1.1539999999999999</v>
      </c>
      <c r="G25" s="3" t="str">
        <f>IF(OR(C25&gt;=0.9,D25&lt;=70,E25&lt;=95,F25&gt;=2.4),"TRIP",IF(OR(C25&gt;=0.6,D25&lt;=90,E25&lt;=110,F25&gt;=1.5),"ALARM","NORMAL"))</f>
        <v>NORMAL</v>
      </c>
      <c r="H25" s="2"/>
    </row>
    <row r="26" spans="1:8" ht="15">
      <c r="A26" s="3">
        <v>25</v>
      </c>
      <c r="B26" s="3" t="s">
        <v>212</v>
      </c>
      <c r="C26" s="3">
        <v>0.35799999999999998</v>
      </c>
      <c r="D26" s="3">
        <v>102.194</v>
      </c>
      <c r="E26" s="3">
        <v>116.94799999999999</v>
      </c>
      <c r="F26" s="3">
        <v>1.1779999999999999</v>
      </c>
      <c r="G26" s="3" t="str">
        <f>IF(OR(C26&gt;=0.9,D26&lt;=70,E26&lt;=95,F26&gt;=2.4),"TRIP",IF(OR(C26&gt;=0.6,D26&lt;=90,E26&lt;=110,F26&gt;=1.5),"ALARM","NORMAL"))</f>
        <v>NORMAL</v>
      </c>
      <c r="H26" s="2"/>
    </row>
    <row r="27" spans="1:8" ht="15">
      <c r="A27" s="3">
        <v>26</v>
      </c>
      <c r="B27" s="3" t="s">
        <v>213</v>
      </c>
      <c r="C27" s="3">
        <v>0.35199999999999998</v>
      </c>
      <c r="D27" s="3">
        <v>96.643000000000001</v>
      </c>
      <c r="E27" s="3">
        <v>115.47499999999999</v>
      </c>
      <c r="F27" s="3">
        <v>1.1819999999999999</v>
      </c>
      <c r="G27" s="3" t="str">
        <f>IF(OR(C27&gt;=0.9,D27&lt;=70,E27&lt;=95,F27&gt;=2.4),"TRIP",IF(OR(C27&gt;=0.6,D27&lt;=90,E27&lt;=110,F27&gt;=1.5),"ALARM","NORMAL"))</f>
        <v>NORMAL</v>
      </c>
      <c r="H27" s="2"/>
    </row>
  </sheetData>
  <conditionalFormatting sqref="G2:G27">
    <cfRule type="cellIs" priority="2" dxfId="2" operator="equal">
      <formula>"TRIP"</formula>
    </cfRule>
    <cfRule type="cellIs" priority="3" dxfId="1" operator="equal">
      <formula>"ALARM"</formula>
    </cfRule>
    <cfRule type="cellIs" priority="4" dxfId="0" operator="equal">
      <formula>"NORMAL"</formula>
    </cfRule>
  </conditionalFormatting>
  <pageMargins left="0.75" right="0.75" top="1" bottom="1" header="0.511811023622047" footer="0.511811023622047"/>
  <pageSetup horizontalDpi="300" verticalDpi="300"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6E3C01D-E221-4EA7-BB92-6AE78B69BAA9}">
  <dimension ref="A1:C16"/>
  <sheetViews>
    <sheetView workbookViewId="0" topLeftCell="A1"/>
  </sheetViews>
  <sheetFormatPr defaultColWidth="8.71428571428571" defaultRowHeight="15"/>
  <cols>
    <col min="1" max="1" width="28" customWidth="1"/>
    <col min="2" max="2" width="16" customWidth="1"/>
    <col min="3" max="3" width="34" customWidth="1"/>
  </cols>
  <sheetData>
    <row r="1" spans="1:3" ht="17.45">
      <c r="A1" s="9" t="s">
        <v>214</v>
      </c>
      <c r="B1" s="9"/>
      <c r="C1" s="9"/>
    </row>
    <row r="3" spans="1:3" ht="15">
      <c r="A3" s="4" t="s">
        <v>75</v>
      </c>
      <c r="B3" s="4" t="s">
        <v>76</v>
      </c>
      <c r="C3" s="4" t="s">
        <v>77</v>
      </c>
    </row>
    <row r="4" spans="1:3" ht="15">
      <c r="A4" s="1" t="s">
        <v>78</v>
      </c>
      <c r="B4" s="3">
        <v>26</v>
      </c>
      <c r="C4" s="5" t="s">
        <v>79</v>
      </c>
    </row>
    <row r="5" spans="1:3" ht="15">
      <c r="A5" s="1" t="s">
        <v>80</v>
      </c>
      <c r="B5" s="3">
        <v>12</v>
      </c>
      <c r="C5" s="5" t="s">
        <v>81</v>
      </c>
    </row>
    <row r="6" spans="1:3" ht="15">
      <c r="A6" s="1" t="s">
        <v>82</v>
      </c>
      <c r="B6" s="3">
        <v>4368</v>
      </c>
      <c r="C6" s="5">
        <f>26*7*24</f>
        <v>4368</v>
      </c>
    </row>
    <row r="7" spans="1:3" ht="15">
      <c r="A7" s="1" t="s">
        <v>83</v>
      </c>
      <c r="B7" s="6">
        <f>(1-12/4368)*100</f>
        <v>99.72527472527473</v>
      </c>
      <c r="C7" s="5" t="s">
        <v>84</v>
      </c>
    </row>
    <row r="8" spans="1:3" ht="15">
      <c r="A8" s="1" t="s">
        <v>85</v>
      </c>
      <c r="B8" s="3">
        <v>1</v>
      </c>
      <c r="C8" s="5" t="s">
        <v>86</v>
      </c>
    </row>
    <row r="9" spans="1:3" ht="15">
      <c r="A9" s="1" t="s">
        <v>87</v>
      </c>
      <c r="B9" s="3">
        <f>4368/1</f>
        <v>4368</v>
      </c>
      <c r="C9" s="5" t="s">
        <v>88</v>
      </c>
    </row>
    <row r="10" spans="1:3" ht="15">
      <c r="A10" s="1" t="s">
        <v>89</v>
      </c>
      <c r="B10" s="3">
        <v>12</v>
      </c>
      <c r="C10" s="5" t="s">
        <v>90</v>
      </c>
    </row>
    <row r="11" spans="1:3" ht="15">
      <c r="A11" s="1" t="s">
        <v>91</v>
      </c>
      <c r="B11" s="3">
        <f>COUNTIF('Condition History (4)'!G2:G27,"ALARM")</f>
        <v>10</v>
      </c>
      <c r="C11" s="5" t="s">
        <v>92</v>
      </c>
    </row>
    <row r="12" spans="1:3" ht="15">
      <c r="A12" s="1" t="s">
        <v>93</v>
      </c>
      <c r="B12" s="3">
        <f>COUNTIF('Condition History (4)'!G2:G27,"TRIP")</f>
        <v>1</v>
      </c>
      <c r="C12" s="5" t="s">
        <v>94</v>
      </c>
    </row>
    <row r="13" spans="1:3" ht="15">
      <c r="A13" s="1" t="s">
        <v>95</v>
      </c>
      <c r="B13" s="3">
        <f>COUNTIF('Condition History (4)'!G2:G27,"NORMAL")</f>
        <v>15</v>
      </c>
      <c r="C13" s="5" t="s">
        <v>96</v>
      </c>
    </row>
    <row r="14" spans="1:3" ht="15">
      <c r="A14" s="1" t="s">
        <v>97</v>
      </c>
      <c r="B14" s="6">
        <v>92</v>
      </c>
      <c r="C14" s="5" t="s">
        <v>98</v>
      </c>
    </row>
    <row r="15" spans="1:3" ht="15">
      <c r="A15" s="1" t="s">
        <v>99</v>
      </c>
      <c r="B15" s="3">
        <v>216</v>
      </c>
      <c r="C15" s="5" t="s">
        <v>100</v>
      </c>
    </row>
    <row r="16" spans="1:3" ht="15">
      <c r="A16" s="1" t="s">
        <v>101</v>
      </c>
      <c r="B16" s="3">
        <v>183.60</v>
      </c>
      <c r="C16" s="5" t="s">
        <v>102</v>
      </c>
    </row>
  </sheetData>
  <mergeCells count="1">
    <mergeCell ref="A1:C1"/>
  </mergeCells>
  <pageMargins left="0.75" right="0.75" top="1" bottom="1" header="0.511811023622047" footer="0.511811023622047"/>
  <pageSetup horizontalDpi="300" verticalDpi="300"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916F990-C541-485E-9617-E8EEF79FBAA9}">
  <dimension ref="A1:D15"/>
  <sheetViews>
    <sheetView workbookViewId="0" topLeftCell="A1">
      <selection pane="topLeft" activeCell="B9" sqref="B9"/>
    </sheetView>
  </sheetViews>
  <sheetFormatPr defaultColWidth="8.71428571428571" defaultRowHeight="15"/>
  <cols>
    <col min="1" max="1" width="22" customWidth="1"/>
    <col min="2" max="2" width="30" customWidth="1"/>
    <col min="3" max="3" width="26" customWidth="1"/>
    <col min="4" max="4" width="16" customWidth="1"/>
  </cols>
  <sheetData>
    <row r="1" spans="1:4" ht="17.45" customHeight="1">
      <c r="A1" s="7" t="s">
        <v>0</v>
      </c>
      <c r="B1" s="7"/>
      <c r="C1" s="7"/>
      <c r="D1" s="7"/>
    </row>
    <row r="3" spans="1:4" ht="15" customHeight="1">
      <c r="A3" s="8" t="s">
        <v>1</v>
      </c>
      <c r="B3" s="8"/>
      <c r="C3" s="8" t="s">
        <v>2</v>
      </c>
      <c r="D3" s="8"/>
    </row>
    <row r="4" spans="1:4" ht="15">
      <c r="A4" s="1" t="s">
        <v>3</v>
      </c>
      <c r="B4" s="2" t="s">
        <v>215</v>
      </c>
      <c r="C4" s="1" t="s">
        <v>5</v>
      </c>
      <c r="D4" s="1" t="s">
        <v>6</v>
      </c>
    </row>
    <row r="5" spans="1:4" ht="15">
      <c r="A5" s="1" t="s">
        <v>7</v>
      </c>
      <c r="B5" s="2" t="s">
        <v>216</v>
      </c>
      <c r="C5" s="2" t="s">
        <v>9</v>
      </c>
      <c r="D5" s="3" t="s">
        <v>10</v>
      </c>
    </row>
    <row r="6" spans="1:4" ht="15">
      <c r="A6" s="1" t="s">
        <v>11</v>
      </c>
      <c r="B6" s="2" t="s">
        <v>217</v>
      </c>
      <c r="C6" s="2" t="s">
        <v>218</v>
      </c>
      <c r="D6" s="3" t="s">
        <v>219</v>
      </c>
    </row>
    <row r="7" spans="1:4" ht="15">
      <c r="A7" s="1" t="s">
        <v>15</v>
      </c>
      <c r="B7" s="2" t="s">
        <v>110</v>
      </c>
      <c r="C7" s="2" t="s">
        <v>220</v>
      </c>
      <c r="D7" s="3" t="s">
        <v>221</v>
      </c>
    </row>
    <row r="8" spans="1:4" ht="15">
      <c r="A8" s="1" t="s">
        <v>19</v>
      </c>
      <c r="B8" s="2" t="s">
        <v>222</v>
      </c>
      <c r="C8" s="2" t="s">
        <v>21</v>
      </c>
      <c r="D8" s="3" t="s">
        <v>22</v>
      </c>
    </row>
    <row r="9" spans="1:2" ht="15">
      <c r="A9" s="1" t="s">
        <v>23</v>
      </c>
      <c r="B9" s="2" t="s">
        <v>24</v>
      </c>
    </row>
    <row r="10" spans="1:2" ht="15">
      <c r="A10" s="1" t="s">
        <v>25</v>
      </c>
      <c r="B10" s="2" t="s">
        <v>116</v>
      </c>
    </row>
    <row r="11" spans="1:2" ht="23.85">
      <c r="A11" s="1" t="s">
        <v>27</v>
      </c>
      <c r="B11" s="2" t="s">
        <v>28</v>
      </c>
    </row>
    <row r="12" spans="1:2" ht="23.85">
      <c r="A12" s="1" t="s">
        <v>29</v>
      </c>
      <c r="B12" s="2" t="s">
        <v>30</v>
      </c>
    </row>
    <row r="13" spans="1:2" ht="15">
      <c r="A13" s="1" t="s">
        <v>31</v>
      </c>
      <c r="B13" s="2" t="s">
        <v>223</v>
      </c>
    </row>
    <row r="14" spans="1:2" ht="15">
      <c r="A14" s="1" t="s">
        <v>33</v>
      </c>
      <c r="B14" s="2" t="s">
        <v>224</v>
      </c>
    </row>
    <row r="15" spans="1:2" ht="23.85">
      <c r="A15" s="1" t="s">
        <v>35</v>
      </c>
      <c r="B15" s="2" t="s">
        <v>225</v>
      </c>
    </row>
  </sheetData>
  <mergeCells count="3">
    <mergeCell ref="A1:D1"/>
    <mergeCell ref="A3:B3"/>
    <mergeCell ref="C3:D3"/>
  </mergeCells>
  <pageMargins left="0.75" right="0.75" top="1" bottom="1" header="0.511811023622047" footer="0.511811023622047"/>
  <pageSetup horizontalDpi="300" verticalDpi="300"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6DE548D-AE13-46B7-8A4A-63AE9C37BAA9}">
  <dimension ref="A1:H27"/>
  <sheetViews>
    <sheetView workbookViewId="0" topLeftCell="A1">
      <pane xSplit="2" ySplit="1" topLeftCell="C2" activePane="bottomRight" state="frozen"/>
      <selection pane="topLeft" activeCell="A1" sqref="A1"/>
      <selection pane="bottomLeft" activeCell="A2" sqref="A2"/>
      <selection pane="topRight" activeCell="C1" sqref="C1"/>
      <selection pane="bottomRight" activeCell="A1" sqref="A1"/>
    </sheetView>
  </sheetViews>
  <sheetFormatPr defaultColWidth="8.71428571428571" defaultRowHeight="15"/>
  <cols>
    <col min="1" max="1" width="6" customWidth="1"/>
    <col min="2" max="2" width="12" customWidth="1"/>
    <col min="3" max="7" width="13" customWidth="1"/>
    <col min="8" max="8" width="42" customWidth="1"/>
  </cols>
  <sheetData>
    <row r="1" spans="1:8" ht="33.75" customHeight="1">
      <c r="A1" s="4" t="s">
        <v>37</v>
      </c>
      <c r="B1" s="4" t="s">
        <v>38</v>
      </c>
      <c r="C1" s="4" t="s">
        <v>39</v>
      </c>
      <c r="D1" s="4" t="s">
        <v>226</v>
      </c>
      <c r="E1" s="4" t="s">
        <v>227</v>
      </c>
      <c r="F1" s="4" t="s">
        <v>42</v>
      </c>
      <c r="G1" s="4" t="s">
        <v>43</v>
      </c>
      <c r="H1" s="4" t="s">
        <v>44</v>
      </c>
    </row>
    <row r="2" spans="1:8" ht="15">
      <c r="A2" s="3">
        <v>1</v>
      </c>
      <c r="B2" s="3" t="s">
        <v>131</v>
      </c>
      <c r="C2" s="3">
        <v>4.0039999999999996</v>
      </c>
      <c r="D2" s="3">
        <v>1.143</v>
      </c>
      <c r="E2" s="3">
        <v>0.025000000000000001</v>
      </c>
      <c r="F2" s="3">
        <v>60.72</v>
      </c>
      <c r="G2" s="3" t="str">
        <f>IF(OR(C2&gt;=11,D2&gt;=5,E2&gt;=0.3,F2&gt;=95),"TRIP",IF(OR(C2&gt;=7,D2&gt;=3,E2&gt;=0.05,F2&gt;=80),"ALARM","NORMAL"))</f>
        <v>NORMAL</v>
      </c>
      <c r="H2" s="2"/>
    </row>
    <row r="3" spans="1:8" ht="15">
      <c r="A3" s="3">
        <v>2</v>
      </c>
      <c r="B3" s="3" t="s">
        <v>132</v>
      </c>
      <c r="C3" s="3">
        <v>4.1879999999999997</v>
      </c>
      <c r="D3" s="3">
        <v>1.2869999999999999</v>
      </c>
      <c r="E3" s="3">
        <v>0.034000000000000002</v>
      </c>
      <c r="F3" s="3">
        <v>59.210999999999999</v>
      </c>
      <c r="G3" s="3" t="str">
        <f>IF(OR(C3&gt;=11,D3&gt;=5,E3&gt;=0.3,F3&gt;=95),"TRIP",IF(OR(C3&gt;=7,D3&gt;=3,E3&gt;=0.05,F3&gt;=80),"ALARM","NORMAL"))</f>
        <v>NORMAL</v>
      </c>
      <c r="H3" s="2"/>
    </row>
    <row r="4" spans="1:8" ht="15">
      <c r="A4" s="3">
        <v>3</v>
      </c>
      <c r="B4" s="3" t="s">
        <v>133</v>
      </c>
      <c r="C4" s="3">
        <v>4.0910000000000002</v>
      </c>
      <c r="D4" s="3">
        <v>1.2929999999999999</v>
      </c>
      <c r="E4" s="3">
        <v>0.036999999999999998</v>
      </c>
      <c r="F4" s="3">
        <v>60.73</v>
      </c>
      <c r="G4" s="3" t="str">
        <f>IF(OR(C4&gt;=11,D4&gt;=5,E4&gt;=0.3,F4&gt;=95),"TRIP",IF(OR(C4&gt;=7,D4&gt;=3,E4&gt;=0.05,F4&gt;=80),"ALARM","NORMAL"))</f>
        <v>NORMAL</v>
      </c>
      <c r="H4" s="2"/>
    </row>
    <row r="5" spans="1:8" ht="15">
      <c r="A5" s="3">
        <v>4</v>
      </c>
      <c r="B5" s="3" t="s">
        <v>134</v>
      </c>
      <c r="C5" s="3">
        <v>4.2649999999999997</v>
      </c>
      <c r="D5" s="3">
        <v>1.37</v>
      </c>
      <c r="E5" s="3">
        <v>0.034000000000000002</v>
      </c>
      <c r="F5" s="3">
        <v>61.953000000000003</v>
      </c>
      <c r="G5" s="3" t="str">
        <f>IF(OR(C5&gt;=11,D5&gt;=5,E5&gt;=0.3,F5&gt;=95),"TRIP",IF(OR(C5&gt;=7,D5&gt;=3,E5&gt;=0.05,F5&gt;=80),"ALARM","NORMAL"))</f>
        <v>NORMAL</v>
      </c>
      <c r="H5" s="2"/>
    </row>
    <row r="6" spans="1:8" ht="15">
      <c r="A6" s="3">
        <v>5</v>
      </c>
      <c r="B6" s="3" t="s">
        <v>135</v>
      </c>
      <c r="C6" s="3">
        <v>4.2679999999999998</v>
      </c>
      <c r="D6" s="3">
        <v>1.3109999999999999</v>
      </c>
      <c r="E6" s="3">
        <v>0.035999999999999997</v>
      </c>
      <c r="F6" s="3">
        <v>60.442</v>
      </c>
      <c r="G6" s="3" t="str">
        <f>IF(OR(C6&gt;=11,D6&gt;=5,E6&gt;=0.3,F6&gt;=95),"TRIP",IF(OR(C6&gt;=7,D6&gt;=3,E6&gt;=0.05,F6&gt;=80),"ALARM","NORMAL"))</f>
        <v>NORMAL</v>
      </c>
      <c r="H6" s="2"/>
    </row>
    <row r="7" spans="1:8" ht="15">
      <c r="A7" s="3">
        <v>6</v>
      </c>
      <c r="B7" s="3" t="s">
        <v>136</v>
      </c>
      <c r="C7" s="3">
        <v>4.4349999999999996</v>
      </c>
      <c r="D7" s="3">
        <v>1.47</v>
      </c>
      <c r="E7" s="3">
        <v>0.050999999999999997</v>
      </c>
      <c r="F7" s="3">
        <v>60.923000000000002</v>
      </c>
      <c r="G7" s="3" t="str">
        <f>IF(OR(C7&gt;=11,D7&gt;=5,E7&gt;=0.3,F7&gt;=95),"TRIP",IF(OR(C7&gt;=7,D7&gt;=3,E7&gt;=0.05,F7&gt;=80),"ALARM","NORMAL"))</f>
        <v>ALARM</v>
      </c>
      <c r="H7" s="2"/>
    </row>
    <row r="8" spans="1:8" ht="15">
      <c r="A8" s="3">
        <v>7</v>
      </c>
      <c r="B8" s="3" t="s">
        <v>137</v>
      </c>
      <c r="C8" s="3">
        <v>4.4429999999999996</v>
      </c>
      <c r="D8" s="3">
        <v>1.694</v>
      </c>
      <c r="E8" s="3">
        <v>0.053999999999999999</v>
      </c>
      <c r="F8" s="3">
        <v>62.389000000000003</v>
      </c>
      <c r="G8" s="3" t="str">
        <f>IF(OR(C8&gt;=11,D8&gt;=5,E8&gt;=0.3,F8&gt;=95),"TRIP",IF(OR(C8&gt;=7,D8&gt;=3,E8&gt;=0.05,F8&gt;=80),"ALARM","NORMAL"))</f>
        <v>ALARM</v>
      </c>
      <c r="H8" s="2"/>
    </row>
    <row r="9" spans="1:8" ht="15">
      <c r="A9" s="3">
        <v>8</v>
      </c>
      <c r="B9" s="3" t="s">
        <v>138</v>
      </c>
      <c r="C9" s="3">
        <v>4.8920000000000003</v>
      </c>
      <c r="D9" s="3">
        <v>1.6459999999999999</v>
      </c>
      <c r="E9" s="3">
        <v>0.053999999999999999</v>
      </c>
      <c r="F9" s="3">
        <v>62.862000000000002</v>
      </c>
      <c r="G9" s="3" t="str">
        <f>IF(OR(C9&gt;=11,D9&gt;=5,E9&gt;=0.3,F9&gt;=95),"TRIP",IF(OR(C9&gt;=7,D9&gt;=3,E9&gt;=0.05,F9&gt;=80),"ALARM","NORMAL"))</f>
        <v>ALARM</v>
      </c>
      <c r="H9" s="2"/>
    </row>
    <row r="10" spans="1:8" ht="15">
      <c r="A10" s="3">
        <v>9</v>
      </c>
      <c r="B10" s="3" t="s">
        <v>139</v>
      </c>
      <c r="C10" s="3">
        <v>4.5810000000000004</v>
      </c>
      <c r="D10" s="3">
        <v>1.7629999999999999</v>
      </c>
      <c r="E10" s="3">
        <v>0.069000000000000006</v>
      </c>
      <c r="F10" s="3">
        <v>66.274000000000001</v>
      </c>
      <c r="G10" s="3" t="str">
        <f>IF(OR(C10&gt;=11,D10&gt;=5,E10&gt;=0.3,F10&gt;=95),"TRIP",IF(OR(C10&gt;=7,D10&gt;=3,E10&gt;=0.05,F10&gt;=80),"ALARM","NORMAL"))</f>
        <v>ALARM</v>
      </c>
      <c r="H10" s="2"/>
    </row>
    <row r="11" spans="1:8" ht="15">
      <c r="A11" s="3">
        <v>10</v>
      </c>
      <c r="B11" s="3" t="s">
        <v>140</v>
      </c>
      <c r="C11" s="3">
        <v>5.295</v>
      </c>
      <c r="D11" s="3">
        <v>2.0219999999999998</v>
      </c>
      <c r="E11" s="3">
        <v>0.085000000000000006</v>
      </c>
      <c r="F11" s="3">
        <v>66.864000000000004</v>
      </c>
      <c r="G11" s="3" t="str">
        <f>IF(OR(C11&gt;=11,D11&gt;=5,E11&gt;=0.3,F11&gt;=95),"TRIP",IF(OR(C11&gt;=7,D11&gt;=3,E11&gt;=0.05,F11&gt;=80),"ALARM","NORMAL"))</f>
        <v>ALARM</v>
      </c>
      <c r="H11" s="2"/>
    </row>
    <row r="12" spans="1:8" ht="15">
      <c r="A12" s="3">
        <v>11</v>
      </c>
      <c r="B12" s="3" t="s">
        <v>141</v>
      </c>
      <c r="C12" s="3">
        <v>5.6360000000000001</v>
      </c>
      <c r="D12" s="3">
        <v>2.1949999999999998</v>
      </c>
      <c r="E12" s="3">
        <v>0.091999999999999998</v>
      </c>
      <c r="F12" s="3">
        <v>68.063000000000002</v>
      </c>
      <c r="G12" s="3" t="str">
        <f>IF(OR(C12&gt;=11,D12&gt;=5,E12&gt;=0.3,F12&gt;=95),"TRIP",IF(OR(C12&gt;=7,D12&gt;=3,E12&gt;=0.05,F12&gt;=80),"ALARM","NORMAL"))</f>
        <v>ALARM</v>
      </c>
      <c r="H12" s="2"/>
    </row>
    <row r="13" spans="1:8" ht="15">
      <c r="A13" s="3">
        <v>12</v>
      </c>
      <c r="B13" s="3" t="s">
        <v>142</v>
      </c>
      <c r="C13" s="3">
        <v>6.0030000000000001</v>
      </c>
      <c r="D13" s="3">
        <v>2.2469999999999999</v>
      </c>
      <c r="E13" s="3">
        <v>0.125</v>
      </c>
      <c r="F13" s="3">
        <v>69.332999999999998</v>
      </c>
      <c r="G13" s="3" t="str">
        <f>IF(OR(C13&gt;=11,D13&gt;=5,E13&gt;=0.3,F13&gt;=95),"TRIP",IF(OR(C13&gt;=7,D13&gt;=3,E13&gt;=0.05,F13&gt;=80),"ALARM","NORMAL"))</f>
        <v>ALARM</v>
      </c>
      <c r="H13" s="2"/>
    </row>
    <row r="14" spans="1:8" ht="15">
      <c r="A14" s="3">
        <v>13</v>
      </c>
      <c r="B14" s="3" t="s">
        <v>143</v>
      </c>
      <c r="C14" s="3">
        <v>6.6669999999999998</v>
      </c>
      <c r="D14" s="3">
        <v>2.605</v>
      </c>
      <c r="E14" s="3">
        <v>0.122</v>
      </c>
      <c r="F14" s="3">
        <v>73.117999999999995</v>
      </c>
      <c r="G14" s="3" t="str">
        <f>IF(OR(C14&gt;=11,D14&gt;=5,E14&gt;=0.3,F14&gt;=95),"TRIP",IF(OR(C14&gt;=7,D14&gt;=3,E14&gt;=0.05,F14&gt;=80),"ALARM","NORMAL"))</f>
        <v>ALARM</v>
      </c>
      <c r="H14" s="2"/>
    </row>
    <row r="15" spans="1:8" ht="15">
      <c r="A15" s="3">
        <v>14</v>
      </c>
      <c r="B15" s="3" t="s">
        <v>144</v>
      </c>
      <c r="C15" s="3">
        <v>6.7859999999999996</v>
      </c>
      <c r="D15" s="3">
        <v>2.871</v>
      </c>
      <c r="E15" s="3">
        <v>0.14299999999999999</v>
      </c>
      <c r="F15" s="3">
        <v>74.414000000000001</v>
      </c>
      <c r="G15" s="3" t="str">
        <f>IF(OR(C15&gt;=11,D15&gt;=5,E15&gt;=0.3,F15&gt;=95),"TRIP",IF(OR(C15&gt;=7,D15&gt;=3,E15&gt;=0.05,F15&gt;=80),"ALARM","NORMAL"))</f>
        <v>ALARM</v>
      </c>
      <c r="H15" s="2"/>
    </row>
    <row r="16" spans="1:8" ht="15">
      <c r="A16" s="3">
        <v>15</v>
      </c>
      <c r="B16" s="3" t="s">
        <v>146</v>
      </c>
      <c r="C16" s="3">
        <v>7.425</v>
      </c>
      <c r="D16" s="3">
        <v>2.96</v>
      </c>
      <c r="E16" s="3">
        <v>0.16300000000000001</v>
      </c>
      <c r="F16" s="3">
        <v>77.137</v>
      </c>
      <c r="G16" s="3" t="str">
        <f>IF(OR(C16&gt;=11,D16&gt;=5,E16&gt;=0.3,F16&gt;=95),"TRIP",IF(OR(C16&gt;=7,D16&gt;=3,E16&gt;=0.05,F16&gt;=80),"ALARM","NORMAL"))</f>
        <v>ALARM</v>
      </c>
      <c r="H16" s="2"/>
    </row>
    <row r="17" spans="1:8" ht="15">
      <c r="A17" s="3">
        <v>16</v>
      </c>
      <c r="B17" s="3" t="s">
        <v>147</v>
      </c>
      <c r="C17" s="3">
        <v>7.976</v>
      </c>
      <c r="D17" s="3">
        <v>3.206</v>
      </c>
      <c r="E17" s="3">
        <v>0.183</v>
      </c>
      <c r="F17" s="3">
        <v>79.822000000000003</v>
      </c>
      <c r="G17" s="3" t="str">
        <f>IF(OR(C17&gt;=11,D17&gt;=5,E17&gt;=0.3,F17&gt;=95),"TRIP",IF(OR(C17&gt;=7,D17&gt;=3,E17&gt;=0.05,F17&gt;=80),"ALARM","NORMAL"))</f>
        <v>ALARM</v>
      </c>
      <c r="H17" s="2"/>
    </row>
    <row r="18" spans="1:8" ht="15">
      <c r="A18" s="3">
        <v>17</v>
      </c>
      <c r="B18" s="3" t="s">
        <v>148</v>
      </c>
      <c r="C18" s="3">
        <v>8.5820000000000007</v>
      </c>
      <c r="D18" s="3">
        <v>3.5790000000000002</v>
      </c>
      <c r="E18" s="3">
        <v>0.19700000000000001</v>
      </c>
      <c r="F18" s="3">
        <v>83.58</v>
      </c>
      <c r="G18" s="3" t="str">
        <f>IF(OR(C18&gt;=11,D18&gt;=5,E18&gt;=0.3,F18&gt;=95),"TRIP",IF(OR(C18&gt;=7,D18&gt;=3,E18&gt;=0.05,F18&gt;=80),"ALARM","NORMAL"))</f>
        <v>ALARM</v>
      </c>
      <c r="H18" s="2"/>
    </row>
    <row r="19" spans="1:8" ht="15">
      <c r="A19" s="3">
        <v>18</v>
      </c>
      <c r="B19" s="3" t="s">
        <v>149</v>
      </c>
      <c r="C19" s="3">
        <v>9.1199999999999992</v>
      </c>
      <c r="D19" s="3">
        <v>3.9510000000000001</v>
      </c>
      <c r="E19" s="3">
        <v>0.222</v>
      </c>
      <c r="F19" s="3">
        <v>84.866</v>
      </c>
      <c r="G19" s="3" t="str">
        <f>IF(OR(C19&gt;=11,D19&gt;=5,E19&gt;=0.3,F19&gt;=95),"TRIP",IF(OR(C19&gt;=7,D19&gt;=3,E19&gt;=0.05,F19&gt;=80),"ALARM","NORMAL"))</f>
        <v>ALARM</v>
      </c>
      <c r="H19" s="2" t="s">
        <v>63</v>
      </c>
    </row>
    <row r="20" spans="1:8" ht="15">
      <c r="A20" s="3">
        <v>19</v>
      </c>
      <c r="B20" s="3" t="s">
        <v>150</v>
      </c>
      <c r="C20" s="3">
        <v>9.7110000000000003</v>
      </c>
      <c r="D20" s="3">
        <v>4.282</v>
      </c>
      <c r="E20" s="3">
        <v>0.25</v>
      </c>
      <c r="F20" s="3">
        <v>89.162999999999997</v>
      </c>
      <c r="G20" s="3" t="str">
        <f>IF(OR(C20&gt;=11,D20&gt;=5,E20&gt;=0.3,F20&gt;=95),"TRIP",IF(OR(C20&gt;=7,D20&gt;=3,E20&gt;=0.05,F20&gt;=80),"ALARM","NORMAL"))</f>
        <v>ALARM</v>
      </c>
      <c r="H20" s="2" t="s">
        <v>63</v>
      </c>
    </row>
    <row r="21" spans="1:8" ht="15">
      <c r="A21" s="3">
        <v>20</v>
      </c>
      <c r="B21" s="3" t="s">
        <v>172</v>
      </c>
      <c r="C21" s="3">
        <v>10.375999999999999</v>
      </c>
      <c r="D21" s="3">
        <v>4.6710000000000003</v>
      </c>
      <c r="E21" s="3">
        <v>0.27700000000000002</v>
      </c>
      <c r="F21" s="3">
        <v>92.41</v>
      </c>
      <c r="G21" s="3" t="str">
        <f>IF(OR(C21&gt;=11,D21&gt;=5,E21&gt;=0.3,F21&gt;=95),"TRIP",IF(OR(C21&gt;=7,D21&gt;=3,E21&gt;=0.05,F21&gt;=80),"ALARM","NORMAL"))</f>
        <v>ALARM</v>
      </c>
      <c r="H21" s="2" t="s">
        <v>63</v>
      </c>
    </row>
    <row r="22" spans="1:8" ht="23.85">
      <c r="A22" s="3">
        <v>21</v>
      </c>
      <c r="B22" s="3" t="s">
        <v>173</v>
      </c>
      <c r="C22" s="3">
        <v>11.22</v>
      </c>
      <c r="D22" s="3">
        <v>5.0999999999999996</v>
      </c>
      <c r="E22" s="3">
        <v>0.30599999999999999</v>
      </c>
      <c r="F22" s="3">
        <v>96.90</v>
      </c>
      <c r="G22" s="3" t="str">
        <f>IF(OR(C22&gt;=11,D22&gt;=5,E22&gt;=0.3,F22&gt;=95),"TRIP",IF(OR(C22&gt;=7,D22&gt;=3,E22&gt;=0.05,F22&gt;=80),"ALARM","NORMAL"))</f>
        <v>TRIP</v>
      </c>
      <c r="H22" s="2" t="s">
        <v>228</v>
      </c>
    </row>
    <row r="23" spans="1:8" ht="15">
      <c r="A23" s="3">
        <v>22</v>
      </c>
      <c r="B23" s="3" t="s">
        <v>174</v>
      </c>
      <c r="C23" s="3">
        <v>3.782</v>
      </c>
      <c r="D23" s="3">
        <v>1.2430000000000001</v>
      </c>
      <c r="E23" s="3">
        <v>0.03</v>
      </c>
      <c r="F23" s="3">
        <v>60.743000000000002</v>
      </c>
      <c r="G23" s="3" t="str">
        <f>IF(OR(C23&gt;=11,D23&gt;=5,E23&gt;=0.3,F23&gt;=95),"TRIP",IF(OR(C23&gt;=7,D23&gt;=3,E23&gt;=0.05,F23&gt;=80),"ALARM","NORMAL"))</f>
        <v>NORMAL</v>
      </c>
      <c r="H23" s="2" t="s">
        <v>69</v>
      </c>
    </row>
    <row r="24" spans="1:8" ht="15">
      <c r="A24" s="3">
        <v>23</v>
      </c>
      <c r="B24" s="3" t="s">
        <v>175</v>
      </c>
      <c r="C24" s="3">
        <v>3.76</v>
      </c>
      <c r="D24" s="3">
        <v>1.2549999999999999</v>
      </c>
      <c r="E24" s="3">
        <v>0.023</v>
      </c>
      <c r="F24" s="3">
        <v>57.351999999999997</v>
      </c>
      <c r="G24" s="3" t="str">
        <f>IF(OR(C24&gt;=11,D24&gt;=5,E24&gt;=0.3,F24&gt;=95),"TRIP",IF(OR(C24&gt;=7,D24&gt;=3,E24&gt;=0.05,F24&gt;=80),"ALARM","NORMAL"))</f>
        <v>NORMAL</v>
      </c>
      <c r="H24" s="2"/>
    </row>
    <row r="25" spans="1:8" ht="15">
      <c r="A25" s="3">
        <v>24</v>
      </c>
      <c r="B25" s="3" t="s">
        <v>176</v>
      </c>
      <c r="C25" s="3">
        <v>3.9180000000000001</v>
      </c>
      <c r="D25" s="3">
        <v>1.198</v>
      </c>
      <c r="E25" s="3">
        <v>0.031</v>
      </c>
      <c r="F25" s="3">
        <v>59.183</v>
      </c>
      <c r="G25" s="3" t="str">
        <f>IF(OR(C25&gt;=11,D25&gt;=5,E25&gt;=0.3,F25&gt;=95),"TRIP",IF(OR(C25&gt;=7,D25&gt;=3,E25&gt;=0.05,F25&gt;=80),"ALARM","NORMAL"))</f>
        <v>NORMAL</v>
      </c>
      <c r="H25" s="2"/>
    </row>
    <row r="26" spans="1:8" ht="15">
      <c r="A26" s="3">
        <v>25</v>
      </c>
      <c r="B26" s="3" t="s">
        <v>178</v>
      </c>
      <c r="C26" s="3">
        <v>3.9260000000000002</v>
      </c>
      <c r="D26" s="3">
        <v>1.1579999999999999</v>
      </c>
      <c r="E26" s="3">
        <v>0.021000000000000001</v>
      </c>
      <c r="F26" s="3">
        <v>60.509</v>
      </c>
      <c r="G26" s="3" t="str">
        <f>IF(OR(C26&gt;=11,D26&gt;=5,E26&gt;=0.3,F26&gt;=95),"TRIP",IF(OR(C26&gt;=7,D26&gt;=3,E26&gt;=0.05,F26&gt;=80),"ALARM","NORMAL"))</f>
        <v>NORMAL</v>
      </c>
      <c r="H26" s="2"/>
    </row>
    <row r="27" spans="1:8" ht="15">
      <c r="A27" s="3">
        <v>26</v>
      </c>
      <c r="B27" s="3" t="s">
        <v>179</v>
      </c>
      <c r="C27" s="3">
        <v>4.0010000000000003</v>
      </c>
      <c r="D27" s="3">
        <v>1.155</v>
      </c>
      <c r="E27" s="3">
        <v>0.001</v>
      </c>
      <c r="F27" s="3">
        <v>60.783000000000001</v>
      </c>
      <c r="G27" s="3" t="str">
        <f>IF(OR(C27&gt;=11,D27&gt;=5,E27&gt;=0.3,F27&gt;=95),"TRIP",IF(OR(C27&gt;=7,D27&gt;=3,E27&gt;=0.05,F27&gt;=80),"ALARM","NORMAL"))</f>
        <v>NORMAL</v>
      </c>
      <c r="H27" s="2"/>
    </row>
  </sheetData>
  <conditionalFormatting sqref="G2:G27">
    <cfRule type="cellIs" priority="2" dxfId="2" operator="equal">
      <formula>"TRIP"</formula>
    </cfRule>
    <cfRule type="cellIs" priority="3" dxfId="1" operator="equal">
      <formula>"ALARM"</formula>
    </cfRule>
    <cfRule type="cellIs" priority="4" dxfId="0" operator="equal">
      <formula>"NORMAL"</formula>
    </cfRule>
  </conditionalFormatting>
  <pageMargins left="0.75" right="0.75" top="1" bottom="1" header="0.511811023622047" footer="0.511811023622047"/>
  <pageSetup horizontalDpi="300" verticalDpi="300"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B261387-796B-4164-9E2C-D667F6F5BAA9}">
  <dimension ref="A1:C16"/>
  <sheetViews>
    <sheetView workbookViewId="0" topLeftCell="A1"/>
  </sheetViews>
  <sheetFormatPr defaultColWidth="8.71428571428571" defaultRowHeight="15"/>
  <cols>
    <col min="1" max="1" width="28" customWidth="1"/>
    <col min="2" max="2" width="16" customWidth="1"/>
    <col min="3" max="3" width="34" customWidth="1"/>
  </cols>
  <sheetData>
    <row r="1" spans="1:3" ht="17.45">
      <c r="A1" s="9" t="s">
        <v>229</v>
      </c>
      <c r="B1" s="9"/>
      <c r="C1" s="9"/>
    </row>
    <row r="3" spans="1:3" ht="15">
      <c r="A3" s="4" t="s">
        <v>75</v>
      </c>
      <c r="B3" s="4" t="s">
        <v>76</v>
      </c>
      <c r="C3" s="4" t="s">
        <v>77</v>
      </c>
    </row>
    <row r="4" spans="1:3" ht="15">
      <c r="A4" s="1" t="s">
        <v>78</v>
      </c>
      <c r="B4" s="3">
        <v>26</v>
      </c>
      <c r="C4" s="5" t="s">
        <v>79</v>
      </c>
    </row>
    <row r="5" spans="1:3" ht="15">
      <c r="A5" s="1" t="s">
        <v>80</v>
      </c>
      <c r="B5" s="3">
        <v>14</v>
      </c>
      <c r="C5" s="5" t="s">
        <v>81</v>
      </c>
    </row>
    <row r="6" spans="1:3" ht="15">
      <c r="A6" s="1" t="s">
        <v>82</v>
      </c>
      <c r="B6" s="3">
        <v>4368</v>
      </c>
      <c r="C6" s="5">
        <f>26*7*24</f>
        <v>4368</v>
      </c>
    </row>
    <row r="7" spans="1:3" ht="15">
      <c r="A7" s="1" t="s">
        <v>83</v>
      </c>
      <c r="B7" s="6">
        <f>(1-14/4368)*100</f>
        <v>99.679487179487182</v>
      </c>
      <c r="C7" s="5" t="s">
        <v>84</v>
      </c>
    </row>
    <row r="8" spans="1:3" ht="15">
      <c r="A8" s="1" t="s">
        <v>85</v>
      </c>
      <c r="B8" s="3">
        <v>1</v>
      </c>
      <c r="C8" s="5" t="s">
        <v>86</v>
      </c>
    </row>
    <row r="9" spans="1:3" ht="15">
      <c r="A9" s="1" t="s">
        <v>87</v>
      </c>
      <c r="B9" s="3">
        <f>4368/1</f>
        <v>4368</v>
      </c>
      <c r="C9" s="5" t="s">
        <v>88</v>
      </c>
    </row>
    <row r="10" spans="1:3" ht="15">
      <c r="A10" s="1" t="s">
        <v>89</v>
      </c>
      <c r="B10" s="3">
        <v>14</v>
      </c>
      <c r="C10" s="5" t="s">
        <v>90</v>
      </c>
    </row>
    <row r="11" spans="1:3" ht="15">
      <c r="A11" s="1" t="s">
        <v>91</v>
      </c>
      <c r="B11" s="3">
        <f>COUNTIF('Condition History (5)'!G2:G27,"ALARM")</f>
        <v>15</v>
      </c>
      <c r="C11" s="5" t="s">
        <v>92</v>
      </c>
    </row>
    <row r="12" spans="1:3" ht="15">
      <c r="A12" s="1" t="s">
        <v>93</v>
      </c>
      <c r="B12" s="3">
        <f>COUNTIF('Condition History (5)'!G2:G27,"TRIP")</f>
        <v>1</v>
      </c>
      <c r="C12" s="5" t="s">
        <v>94</v>
      </c>
    </row>
    <row r="13" spans="1:3" ht="15">
      <c r="A13" s="1" t="s">
        <v>95</v>
      </c>
      <c r="B13" s="3">
        <f>COUNTIF('Condition History (5)'!G2:G27,"NORMAL")</f>
        <v>10</v>
      </c>
      <c r="C13" s="5" t="s">
        <v>96</v>
      </c>
    </row>
    <row r="14" spans="1:3" ht="15">
      <c r="A14" s="1" t="s">
        <v>97</v>
      </c>
      <c r="B14" s="6">
        <v>92</v>
      </c>
      <c r="C14" s="5" t="s">
        <v>98</v>
      </c>
    </row>
    <row r="15" spans="1:3" ht="15">
      <c r="A15" s="1" t="s">
        <v>99</v>
      </c>
      <c r="B15" s="3">
        <v>532</v>
      </c>
      <c r="C15" s="5" t="s">
        <v>100</v>
      </c>
    </row>
    <row r="16" spans="1:3" ht="15">
      <c r="A16" s="1" t="s">
        <v>101</v>
      </c>
      <c r="B16" s="3">
        <v>478.80</v>
      </c>
      <c r="C16" s="5" t="s">
        <v>102</v>
      </c>
    </row>
  </sheetData>
  <mergeCells count="1">
    <mergeCell ref="A1:C1"/>
  </mergeCells>
  <pageMargins left="0.75" right="0.75" top="1" bottom="1" header="0.511811023622047" footer="0.511811023622047"/>
  <pageSetup horizontalDpi="300" verticalDpi="300" orientation="portrait" paperSize="9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2C4518E1ED9C4C808F6F104771DAF4" ma:contentTypeVersion="18" ma:contentTypeDescription="Create a new document." ma:contentTypeScope="" ma:versionID="58198918a17d838bcb25a0e6a8e7af6d">
  <xsd:schema xmlns:xsd="http://www.w3.org/2001/XMLSchema" xmlns:xs="http://www.w3.org/2001/XMLSchema" xmlns:p="http://schemas.microsoft.com/office/2006/metadata/properties" xmlns:ns2="831850e5-ca91-43e1-afa5-cf72b3205c9b" xmlns:ns3="0a71efe2-5848-4835-ba9f-8faf6945352d" targetNamespace="http://schemas.microsoft.com/office/2006/metadata/properties" ma:root="true" ma:fieldsID="dbb7d9c8a963165d3a7bcebf80db274b" ns2:_="" ns3:_="">
    <xsd:import namespace="831850e5-ca91-43e1-afa5-cf72b3205c9b"/>
    <xsd:import namespace="0a71efe2-5848-4835-ba9f-8faf694535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SearchProperties" minOccurs="0"/>
                <xsd:element ref="ns2:Statu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1850e5-ca91-43e1-afa5-cf72b3205c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4cbfe34-5b9c-4d8b-9c6a-ff67f326dec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tatus" ma:index="23" nillable="true" ma:displayName="Status" ma:description="Status activity" ma:format="Dropdown" ma:internalName="Status">
      <xsd:simpleType>
        <xsd:restriction base="dms:Choice">
          <xsd:enumeration value="To do"/>
          <xsd:enumeration value="In Progress"/>
          <xsd:enumeration value="Complete"/>
        </xsd:restriction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71efe2-5848-4835-ba9f-8faf6945352d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5ccd0597-706a-4593-b691-8b842788275c}" ma:internalName="TaxCatchAll" ma:showField="CatchAllData" ma:web="0a71efe2-5848-4835-ba9f-8faf694535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a71efe2-5848-4835-ba9f-8faf6945352d" xsi:nil="true"/>
    <lcf76f155ced4ddcb4097134ff3c332f xmlns="831850e5-ca91-43e1-afa5-cf72b3205c9b">
      <Terms xmlns="http://schemas.microsoft.com/office/infopath/2007/PartnerControls"/>
    </lcf76f155ced4ddcb4097134ff3c332f>
    <Status xmlns="831850e5-ca91-43e1-afa5-cf72b3205c9b" xsi:nil="true"/>
  </documentManagement>
</p:properties>
</file>

<file path=customXml/itemProps1.xml><?xml version="1.0" encoding="utf-8"?>
<ds:datastoreItem xmlns:ds="http://schemas.openxmlformats.org/officeDocument/2006/customXml" ds:itemID="{2A9CB91D-25EE-4025-9138-DC05934341C4}"/>
</file>

<file path=customXml/itemProps2.xml><?xml version="1.0" encoding="utf-8"?>
<ds:datastoreItem xmlns:ds="http://schemas.openxmlformats.org/officeDocument/2006/customXml" ds:itemID="{E43029C6-6856-4FFE-A10D-AFE015F13B2B}"/>
</file>

<file path=customXml/itemProps3.xml><?xml version="1.0" encoding="utf-8"?>
<ds:datastoreItem xmlns:ds="http://schemas.openxmlformats.org/officeDocument/2006/customXml" ds:itemID="{822A26D4-A57D-4C31-8061-C2A7D82EEF55}"/>
</file>

<file path=docMetadata/LabelInfo.xml><?xml version="1.0" encoding="utf-8"?>
<clbl:labelList xmlns:clbl="http://schemas.microsoft.com/office/2020/mipLabelMetadata">
  <clbl:label id="{26ac4c88-3875-4bc2-aac4-371aa6c119c2}" enabled="1" method="Standard" siteId="{a289e960-a538-4db3-adf0-845b57e616c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AppVersion>16.0300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Alif Agung Priambodo - RAI</cp:lastModifiedBy>
  <dcterms:created xsi:type="dcterms:W3CDTF">2026-07-30T08:48:44Z</dcterms:created>
  <dcterms:modified xsi:type="dcterms:W3CDTF">2026-08-10T22:42:36Z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0x010100F52C4518E1ED9C4C808F6F104771DAF4</vt:lpwstr>
  </property>
  <property fmtid="{D5CDD505-2E9C-101B-9397-08002B2CF9AE}" pid="3" name="MediaServiceImageTags">
    <vt:lpwstr/>
  </property>
</Properties>
</file>